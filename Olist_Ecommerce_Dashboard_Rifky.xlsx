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063ADF3-29A1-4E51-9004-979AD27DDAA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Data - Monthly" sheetId="2" r:id="rId2"/>
    <sheet name="Data - Category" sheetId="3" r:id="rId3"/>
    <sheet name="Monthly Summary" sheetId="4" r:id="rId4"/>
    <sheet name="Category 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4" i="5" l="1"/>
  <c r="E74" i="5"/>
  <c r="G74" i="5" s="1"/>
  <c r="D74" i="5"/>
  <c r="C74" i="5"/>
  <c r="B74" i="5"/>
  <c r="A74" i="5"/>
  <c r="G73" i="5"/>
  <c r="F73" i="5"/>
  <c r="E73" i="5"/>
  <c r="D73" i="5"/>
  <c r="C73" i="5"/>
  <c r="B73" i="5"/>
  <c r="A73" i="5"/>
  <c r="F72" i="5"/>
  <c r="G72" i="5" s="1"/>
  <c r="E72" i="5"/>
  <c r="D72" i="5"/>
  <c r="C72" i="5"/>
  <c r="B72" i="5"/>
  <c r="A72" i="5"/>
  <c r="F71" i="5"/>
  <c r="E71" i="5"/>
  <c r="G71" i="5" s="1"/>
  <c r="D71" i="5"/>
  <c r="C71" i="5"/>
  <c r="B71" i="5"/>
  <c r="A71" i="5"/>
  <c r="F70" i="5"/>
  <c r="E70" i="5"/>
  <c r="G70" i="5" s="1"/>
  <c r="D70" i="5"/>
  <c r="C70" i="5"/>
  <c r="B70" i="5"/>
  <c r="A70" i="5"/>
  <c r="F69" i="5"/>
  <c r="E69" i="5"/>
  <c r="G69" i="5" s="1"/>
  <c r="D69" i="5"/>
  <c r="C69" i="5"/>
  <c r="B69" i="5"/>
  <c r="A69" i="5"/>
  <c r="F68" i="5"/>
  <c r="E68" i="5"/>
  <c r="G68" i="5" s="1"/>
  <c r="D68" i="5"/>
  <c r="C68" i="5"/>
  <c r="B68" i="5"/>
  <c r="A68" i="5"/>
  <c r="F67" i="5"/>
  <c r="E67" i="5"/>
  <c r="G67" i="5" s="1"/>
  <c r="D67" i="5"/>
  <c r="C67" i="5"/>
  <c r="B67" i="5"/>
  <c r="A67" i="5"/>
  <c r="F66" i="5"/>
  <c r="E66" i="5"/>
  <c r="G66" i="5" s="1"/>
  <c r="D66" i="5"/>
  <c r="C66" i="5"/>
  <c r="B66" i="5"/>
  <c r="A66" i="5"/>
  <c r="G65" i="5"/>
  <c r="F65" i="5"/>
  <c r="E65" i="5"/>
  <c r="D65" i="5"/>
  <c r="C65" i="5"/>
  <c r="B65" i="5"/>
  <c r="A65" i="5"/>
  <c r="F64" i="5"/>
  <c r="G64" i="5" s="1"/>
  <c r="E64" i="5"/>
  <c r="D64" i="5"/>
  <c r="C64" i="5"/>
  <c r="B64" i="5"/>
  <c r="A64" i="5"/>
  <c r="F63" i="5"/>
  <c r="E63" i="5"/>
  <c r="G63" i="5" s="1"/>
  <c r="D63" i="5"/>
  <c r="C63" i="5"/>
  <c r="B63" i="5"/>
  <c r="A63" i="5"/>
  <c r="F62" i="5"/>
  <c r="E62" i="5"/>
  <c r="G62" i="5" s="1"/>
  <c r="D62" i="5"/>
  <c r="C62" i="5"/>
  <c r="B62" i="5"/>
  <c r="A62" i="5"/>
  <c r="F61" i="5"/>
  <c r="E61" i="5"/>
  <c r="G61" i="5" s="1"/>
  <c r="D61" i="5"/>
  <c r="C61" i="5"/>
  <c r="B61" i="5"/>
  <c r="A61" i="5"/>
  <c r="F60" i="5"/>
  <c r="E60" i="5"/>
  <c r="G60" i="5" s="1"/>
  <c r="D60" i="5"/>
  <c r="C60" i="5"/>
  <c r="B60" i="5"/>
  <c r="A60" i="5"/>
  <c r="F59" i="5"/>
  <c r="E59" i="5"/>
  <c r="G59" i="5" s="1"/>
  <c r="D59" i="5"/>
  <c r="C59" i="5"/>
  <c r="B59" i="5"/>
  <c r="A59" i="5"/>
  <c r="F58" i="5"/>
  <c r="E58" i="5"/>
  <c r="G58" i="5" s="1"/>
  <c r="D58" i="5"/>
  <c r="C58" i="5"/>
  <c r="B58" i="5"/>
  <c r="A58" i="5"/>
  <c r="G57" i="5"/>
  <c r="F57" i="5"/>
  <c r="E57" i="5"/>
  <c r="D57" i="5"/>
  <c r="C57" i="5"/>
  <c r="B57" i="5"/>
  <c r="A57" i="5"/>
  <c r="F56" i="5"/>
  <c r="G56" i="5" s="1"/>
  <c r="E56" i="5"/>
  <c r="D56" i="5"/>
  <c r="C56" i="5"/>
  <c r="B56" i="5"/>
  <c r="A56" i="5"/>
  <c r="F55" i="5"/>
  <c r="E55" i="5"/>
  <c r="G55" i="5" s="1"/>
  <c r="D55" i="5"/>
  <c r="C55" i="5"/>
  <c r="B55" i="5"/>
  <c r="A55" i="5"/>
  <c r="F54" i="5"/>
  <c r="E54" i="5"/>
  <c r="G54" i="5" s="1"/>
  <c r="D54" i="5"/>
  <c r="C54" i="5"/>
  <c r="B54" i="5"/>
  <c r="A54" i="5"/>
  <c r="F53" i="5"/>
  <c r="E53" i="5"/>
  <c r="G53" i="5" s="1"/>
  <c r="D53" i="5"/>
  <c r="C53" i="5"/>
  <c r="B53" i="5"/>
  <c r="A53" i="5"/>
  <c r="F52" i="5"/>
  <c r="E52" i="5"/>
  <c r="G52" i="5" s="1"/>
  <c r="D52" i="5"/>
  <c r="C52" i="5"/>
  <c r="B52" i="5"/>
  <c r="A52" i="5"/>
  <c r="F51" i="5"/>
  <c r="E51" i="5"/>
  <c r="G51" i="5" s="1"/>
  <c r="D51" i="5"/>
  <c r="C51" i="5"/>
  <c r="B51" i="5"/>
  <c r="A51" i="5"/>
  <c r="F50" i="5"/>
  <c r="E50" i="5"/>
  <c r="G50" i="5" s="1"/>
  <c r="D50" i="5"/>
  <c r="C50" i="5"/>
  <c r="B50" i="5"/>
  <c r="A50" i="5"/>
  <c r="G49" i="5"/>
  <c r="F49" i="5"/>
  <c r="E49" i="5"/>
  <c r="D49" i="5"/>
  <c r="C49" i="5"/>
  <c r="B49" i="5"/>
  <c r="A49" i="5"/>
  <c r="F48" i="5"/>
  <c r="G48" i="5" s="1"/>
  <c r="E48" i="5"/>
  <c r="D48" i="5"/>
  <c r="C48" i="5"/>
  <c r="B48" i="5"/>
  <c r="A48" i="5"/>
  <c r="F47" i="5"/>
  <c r="E47" i="5"/>
  <c r="G47" i="5" s="1"/>
  <c r="D47" i="5"/>
  <c r="C47" i="5"/>
  <c r="B47" i="5"/>
  <c r="A47" i="5"/>
  <c r="F46" i="5"/>
  <c r="E46" i="5"/>
  <c r="G46" i="5" s="1"/>
  <c r="D46" i="5"/>
  <c r="C46" i="5"/>
  <c r="B46" i="5"/>
  <c r="A46" i="5"/>
  <c r="F45" i="5"/>
  <c r="E45" i="5"/>
  <c r="G45" i="5" s="1"/>
  <c r="D45" i="5"/>
  <c r="C45" i="5"/>
  <c r="B45" i="5"/>
  <c r="A45" i="5"/>
  <c r="F44" i="5"/>
  <c r="E44" i="5"/>
  <c r="G44" i="5" s="1"/>
  <c r="D44" i="5"/>
  <c r="C44" i="5"/>
  <c r="B44" i="5"/>
  <c r="A44" i="5"/>
  <c r="F43" i="5"/>
  <c r="E43" i="5"/>
  <c r="G43" i="5" s="1"/>
  <c r="D43" i="5"/>
  <c r="C43" i="5"/>
  <c r="B43" i="5"/>
  <c r="A43" i="5"/>
  <c r="F42" i="5"/>
  <c r="E42" i="5"/>
  <c r="G42" i="5" s="1"/>
  <c r="D42" i="5"/>
  <c r="C42" i="5"/>
  <c r="B42" i="5"/>
  <c r="A42" i="5"/>
  <c r="G41" i="5"/>
  <c r="F41" i="5"/>
  <c r="E41" i="5"/>
  <c r="D41" i="5"/>
  <c r="C41" i="5"/>
  <c r="B41" i="5"/>
  <c r="A41" i="5"/>
  <c r="F40" i="5"/>
  <c r="G40" i="5" s="1"/>
  <c r="E40" i="5"/>
  <c r="D40" i="5"/>
  <c r="C40" i="5"/>
  <c r="B40" i="5"/>
  <c r="A40" i="5"/>
  <c r="F39" i="5"/>
  <c r="E39" i="5"/>
  <c r="G39" i="5" s="1"/>
  <c r="D39" i="5"/>
  <c r="C39" i="5"/>
  <c r="B39" i="5"/>
  <c r="A39" i="5"/>
  <c r="F38" i="5"/>
  <c r="E38" i="5"/>
  <c r="G38" i="5" s="1"/>
  <c r="D38" i="5"/>
  <c r="C38" i="5"/>
  <c r="B38" i="5"/>
  <c r="A38" i="5"/>
  <c r="F37" i="5"/>
  <c r="E37" i="5"/>
  <c r="G37" i="5" s="1"/>
  <c r="D37" i="5"/>
  <c r="C37" i="5"/>
  <c r="B37" i="5"/>
  <c r="A37" i="5"/>
  <c r="F36" i="5"/>
  <c r="E36" i="5"/>
  <c r="G36" i="5" s="1"/>
  <c r="D36" i="5"/>
  <c r="C36" i="5"/>
  <c r="B36" i="5"/>
  <c r="A36" i="5"/>
  <c r="F35" i="5"/>
  <c r="E35" i="5"/>
  <c r="G35" i="5" s="1"/>
  <c r="D35" i="5"/>
  <c r="C35" i="5"/>
  <c r="B35" i="5"/>
  <c r="A35" i="5"/>
  <c r="F34" i="5"/>
  <c r="E34" i="5"/>
  <c r="G34" i="5" s="1"/>
  <c r="D34" i="5"/>
  <c r="C34" i="5"/>
  <c r="B34" i="5"/>
  <c r="A34" i="5"/>
  <c r="G33" i="5"/>
  <c r="F33" i="5"/>
  <c r="E33" i="5"/>
  <c r="D33" i="5"/>
  <c r="C33" i="5"/>
  <c r="B33" i="5"/>
  <c r="A33" i="5"/>
  <c r="F32" i="5"/>
  <c r="G32" i="5" s="1"/>
  <c r="E32" i="5"/>
  <c r="D32" i="5"/>
  <c r="C32" i="5"/>
  <c r="B32" i="5"/>
  <c r="A32" i="5"/>
  <c r="F31" i="5"/>
  <c r="E31" i="5"/>
  <c r="G31" i="5" s="1"/>
  <c r="D31" i="5"/>
  <c r="C31" i="5"/>
  <c r="B31" i="5"/>
  <c r="A31" i="5"/>
  <c r="F30" i="5"/>
  <c r="E30" i="5"/>
  <c r="G30" i="5" s="1"/>
  <c r="D30" i="5"/>
  <c r="C30" i="5"/>
  <c r="B30" i="5"/>
  <c r="A30" i="5"/>
  <c r="F29" i="5"/>
  <c r="E29" i="5"/>
  <c r="G29" i="5" s="1"/>
  <c r="D29" i="5"/>
  <c r="C29" i="5"/>
  <c r="B29" i="5"/>
  <c r="A29" i="5"/>
  <c r="F28" i="5"/>
  <c r="E28" i="5"/>
  <c r="G28" i="5" s="1"/>
  <c r="D28" i="5"/>
  <c r="C28" i="5"/>
  <c r="B28" i="5"/>
  <c r="A28" i="5"/>
  <c r="F27" i="5"/>
  <c r="E27" i="5"/>
  <c r="G27" i="5" s="1"/>
  <c r="D27" i="5"/>
  <c r="C27" i="5"/>
  <c r="B27" i="5"/>
  <c r="A27" i="5"/>
  <c r="F26" i="5"/>
  <c r="E26" i="5"/>
  <c r="G26" i="5" s="1"/>
  <c r="D26" i="5"/>
  <c r="C26" i="5"/>
  <c r="B26" i="5"/>
  <c r="A26" i="5"/>
  <c r="G25" i="5"/>
  <c r="F25" i="5"/>
  <c r="E25" i="5"/>
  <c r="D25" i="5"/>
  <c r="C25" i="5"/>
  <c r="B25" i="5"/>
  <c r="A25" i="5"/>
  <c r="F24" i="5"/>
  <c r="G24" i="5" s="1"/>
  <c r="E24" i="5"/>
  <c r="D24" i="5"/>
  <c r="C24" i="5"/>
  <c r="B24" i="5"/>
  <c r="A24" i="5"/>
  <c r="F23" i="5"/>
  <c r="E23" i="5"/>
  <c r="G23" i="5" s="1"/>
  <c r="D23" i="5"/>
  <c r="C23" i="5"/>
  <c r="B23" i="5"/>
  <c r="A23" i="5"/>
  <c r="F22" i="5"/>
  <c r="E22" i="5"/>
  <c r="G22" i="5" s="1"/>
  <c r="D22" i="5"/>
  <c r="C22" i="5"/>
  <c r="B22" i="5"/>
  <c r="A22" i="5"/>
  <c r="F21" i="5"/>
  <c r="E21" i="5"/>
  <c r="G21" i="5" s="1"/>
  <c r="D21" i="5"/>
  <c r="C21" i="5"/>
  <c r="B21" i="5"/>
  <c r="A21" i="5"/>
  <c r="F20" i="5"/>
  <c r="E20" i="5"/>
  <c r="G20" i="5" s="1"/>
  <c r="D20" i="5"/>
  <c r="C20" i="5"/>
  <c r="B20" i="5"/>
  <c r="A20" i="5"/>
  <c r="F19" i="5"/>
  <c r="E19" i="5"/>
  <c r="G19" i="5" s="1"/>
  <c r="D19" i="5"/>
  <c r="C19" i="5"/>
  <c r="B19" i="5"/>
  <c r="A19" i="5"/>
  <c r="F18" i="5"/>
  <c r="E18" i="5"/>
  <c r="G18" i="5" s="1"/>
  <c r="D18" i="5"/>
  <c r="C18" i="5"/>
  <c r="B18" i="5"/>
  <c r="A18" i="5"/>
  <c r="G17" i="5"/>
  <c r="F17" i="5"/>
  <c r="E17" i="5"/>
  <c r="D17" i="5"/>
  <c r="C17" i="5"/>
  <c r="B17" i="5"/>
  <c r="A17" i="5"/>
  <c r="F16" i="5"/>
  <c r="G16" i="5" s="1"/>
  <c r="E16" i="5"/>
  <c r="D16" i="5"/>
  <c r="C16" i="5"/>
  <c r="B16" i="5"/>
  <c r="A16" i="5"/>
  <c r="F15" i="5"/>
  <c r="E15" i="5"/>
  <c r="G15" i="5" s="1"/>
  <c r="D15" i="5"/>
  <c r="C15" i="5"/>
  <c r="B15" i="5"/>
  <c r="A15" i="5"/>
  <c r="F14" i="5"/>
  <c r="E14" i="5"/>
  <c r="G14" i="5" s="1"/>
  <c r="D14" i="5"/>
  <c r="C14" i="5"/>
  <c r="B14" i="5"/>
  <c r="A14" i="5"/>
  <c r="F13" i="5"/>
  <c r="E13" i="5"/>
  <c r="G13" i="5" s="1"/>
  <c r="D13" i="5"/>
  <c r="C13" i="5"/>
  <c r="B13" i="5"/>
  <c r="A13" i="5"/>
  <c r="F12" i="5"/>
  <c r="E12" i="5"/>
  <c r="G12" i="5" s="1"/>
  <c r="D12" i="5"/>
  <c r="C12" i="5"/>
  <c r="B12" i="5"/>
  <c r="A12" i="5"/>
  <c r="F11" i="5"/>
  <c r="E11" i="5"/>
  <c r="G11" i="5" s="1"/>
  <c r="D11" i="5"/>
  <c r="C11" i="5"/>
  <c r="B11" i="5"/>
  <c r="A11" i="5"/>
  <c r="F10" i="5"/>
  <c r="E10" i="5"/>
  <c r="G10" i="5" s="1"/>
  <c r="D10" i="5"/>
  <c r="C10" i="5"/>
  <c r="B10" i="5"/>
  <c r="A10" i="5"/>
  <c r="G9" i="5"/>
  <c r="F9" i="5"/>
  <c r="E9" i="5"/>
  <c r="D9" i="5"/>
  <c r="C9" i="5"/>
  <c r="B9" i="5"/>
  <c r="A9" i="5"/>
  <c r="F8" i="5"/>
  <c r="G8" i="5" s="1"/>
  <c r="E8" i="5"/>
  <c r="D8" i="5"/>
  <c r="C8" i="5"/>
  <c r="B8" i="5"/>
  <c r="A8" i="5"/>
  <c r="F7" i="5"/>
  <c r="M17" i="1" s="1"/>
  <c r="E7" i="5"/>
  <c r="L17" i="1" s="1"/>
  <c r="D7" i="5"/>
  <c r="C7" i="5"/>
  <c r="B7" i="5"/>
  <c r="A7" i="5"/>
  <c r="F6" i="5"/>
  <c r="E6" i="5"/>
  <c r="G6" i="5" s="1"/>
  <c r="D6" i="5"/>
  <c r="C6" i="5"/>
  <c r="B6" i="5"/>
  <c r="A6" i="5"/>
  <c r="F5" i="5"/>
  <c r="E5" i="5"/>
  <c r="G5" i="5" s="1"/>
  <c r="D5" i="5"/>
  <c r="C5" i="5"/>
  <c r="B5" i="5"/>
  <c r="A5" i="5"/>
  <c r="F4" i="5"/>
  <c r="E4" i="5"/>
  <c r="G4" i="5" s="1"/>
  <c r="D4" i="5"/>
  <c r="C4" i="5"/>
  <c r="B4" i="5"/>
  <c r="A4" i="5"/>
  <c r="F3" i="5"/>
  <c r="E3" i="5"/>
  <c r="D3" i="5"/>
  <c r="D76" i="5" s="1"/>
  <c r="C3" i="5"/>
  <c r="B3" i="5"/>
  <c r="A3" i="5"/>
  <c r="H38" i="4"/>
  <c r="G48" i="1" s="1"/>
  <c r="G38" i="4"/>
  <c r="F48" i="1" s="1"/>
  <c r="F38" i="4"/>
  <c r="E38" i="4"/>
  <c r="D38" i="4"/>
  <c r="I38" i="4" s="1"/>
  <c r="C38" i="4"/>
  <c r="B38" i="4"/>
  <c r="A38" i="4"/>
  <c r="I37" i="4"/>
  <c r="H37" i="4"/>
  <c r="G47" i="1" s="1"/>
  <c r="G37" i="4"/>
  <c r="F47" i="1" s="1"/>
  <c r="F37" i="4"/>
  <c r="E37" i="4"/>
  <c r="D37" i="4"/>
  <c r="C37" i="4"/>
  <c r="B37" i="4"/>
  <c r="A37" i="4"/>
  <c r="A47" i="1" s="1"/>
  <c r="I36" i="4"/>
  <c r="H36" i="4"/>
  <c r="G36" i="4"/>
  <c r="F36" i="4"/>
  <c r="E36" i="4"/>
  <c r="D36" i="4"/>
  <c r="C36" i="4"/>
  <c r="B36" i="4"/>
  <c r="A36" i="4"/>
  <c r="A46" i="1" s="1"/>
  <c r="I35" i="4"/>
  <c r="H35" i="4"/>
  <c r="G35" i="4"/>
  <c r="F35" i="4"/>
  <c r="E35" i="4"/>
  <c r="D35" i="4"/>
  <c r="C35" i="4"/>
  <c r="B45" i="1" s="1"/>
  <c r="B35" i="4"/>
  <c r="A35" i="4"/>
  <c r="H34" i="4"/>
  <c r="G34" i="4"/>
  <c r="F34" i="4"/>
  <c r="E34" i="4"/>
  <c r="D34" i="4"/>
  <c r="C34" i="4"/>
  <c r="B44" i="1" s="1"/>
  <c r="B34" i="4"/>
  <c r="A34" i="4"/>
  <c r="H33" i="4"/>
  <c r="G33" i="4"/>
  <c r="F33" i="4"/>
  <c r="E33" i="4"/>
  <c r="D33" i="4"/>
  <c r="I33" i="4" s="1"/>
  <c r="C33" i="4"/>
  <c r="B43" i="1" s="1"/>
  <c r="B33" i="4"/>
  <c r="A33" i="4"/>
  <c r="H32" i="4"/>
  <c r="G32" i="4"/>
  <c r="F32" i="4"/>
  <c r="E32" i="4"/>
  <c r="D42" i="1" s="1"/>
  <c r="D32" i="4"/>
  <c r="I32" i="4" s="1"/>
  <c r="C32" i="4"/>
  <c r="B32" i="4"/>
  <c r="A32" i="4"/>
  <c r="H31" i="4"/>
  <c r="I31" i="4" s="1"/>
  <c r="G31" i="4"/>
  <c r="F31" i="4"/>
  <c r="E31" i="4"/>
  <c r="D31" i="4"/>
  <c r="C31" i="4"/>
  <c r="B31" i="4"/>
  <c r="A31" i="4"/>
  <c r="H30" i="4"/>
  <c r="G40" i="1" s="1"/>
  <c r="G30" i="4"/>
  <c r="F40" i="1" s="1"/>
  <c r="F30" i="4"/>
  <c r="E30" i="4"/>
  <c r="D30" i="4"/>
  <c r="I30" i="4" s="1"/>
  <c r="C30" i="4"/>
  <c r="B30" i="4"/>
  <c r="A30" i="4"/>
  <c r="H29" i="4"/>
  <c r="I29" i="4" s="1"/>
  <c r="G29" i="4"/>
  <c r="F39" i="1" s="1"/>
  <c r="F29" i="4"/>
  <c r="E29" i="4"/>
  <c r="D29" i="4"/>
  <c r="C29" i="4"/>
  <c r="B29" i="4"/>
  <c r="A29" i="4"/>
  <c r="A39" i="1" s="1"/>
  <c r="H28" i="4"/>
  <c r="I28" i="4" s="1"/>
  <c r="G28" i="4"/>
  <c r="F28" i="4"/>
  <c r="E28" i="4"/>
  <c r="D28" i="4"/>
  <c r="C28" i="4"/>
  <c r="B28" i="4"/>
  <c r="A28" i="4"/>
  <c r="I27" i="4"/>
  <c r="H27" i="4"/>
  <c r="G27" i="4"/>
  <c r="F27" i="4"/>
  <c r="E27" i="4"/>
  <c r="D27" i="4"/>
  <c r="C27" i="4"/>
  <c r="B27" i="4"/>
  <c r="A27" i="4"/>
  <c r="H26" i="4"/>
  <c r="G26" i="4"/>
  <c r="F26" i="4"/>
  <c r="E26" i="4"/>
  <c r="D26" i="4"/>
  <c r="C26" i="4"/>
  <c r="B36" i="1" s="1"/>
  <c r="B26" i="4"/>
  <c r="A26" i="4"/>
  <c r="H25" i="4"/>
  <c r="G25" i="4"/>
  <c r="F25" i="4"/>
  <c r="E25" i="4"/>
  <c r="D35" i="1" s="1"/>
  <c r="D25" i="4"/>
  <c r="I25" i="4" s="1"/>
  <c r="C25" i="4"/>
  <c r="B35" i="1" s="1"/>
  <c r="B25" i="4"/>
  <c r="A25" i="4"/>
  <c r="H24" i="4"/>
  <c r="G24" i="4"/>
  <c r="F24" i="4"/>
  <c r="E34" i="1" s="1"/>
  <c r="E24" i="4"/>
  <c r="D34" i="1" s="1"/>
  <c r="D24" i="4"/>
  <c r="I24" i="4" s="1"/>
  <c r="C24" i="4"/>
  <c r="B24" i="4"/>
  <c r="A24" i="4"/>
  <c r="H23" i="4"/>
  <c r="I23" i="4" s="1"/>
  <c r="G23" i="4"/>
  <c r="F23" i="4"/>
  <c r="E23" i="4"/>
  <c r="D23" i="4"/>
  <c r="C23" i="4"/>
  <c r="B23" i="4"/>
  <c r="A23" i="4"/>
  <c r="H22" i="4"/>
  <c r="G32" i="1" s="1"/>
  <c r="G22" i="4"/>
  <c r="F22" i="4"/>
  <c r="E32" i="1" s="1"/>
  <c r="E22" i="4"/>
  <c r="D22" i="4"/>
  <c r="I22" i="4" s="1"/>
  <c r="C22" i="4"/>
  <c r="B22" i="4"/>
  <c r="A22" i="4"/>
  <c r="H21" i="4"/>
  <c r="I21" i="4" s="1"/>
  <c r="G21" i="4"/>
  <c r="F31" i="1" s="1"/>
  <c r="F21" i="4"/>
  <c r="E21" i="4"/>
  <c r="D21" i="4"/>
  <c r="C21" i="4"/>
  <c r="B21" i="4"/>
  <c r="A21" i="4"/>
  <c r="H20" i="4"/>
  <c r="I20" i="4" s="1"/>
  <c r="G20" i="4"/>
  <c r="F20" i="4"/>
  <c r="E20" i="4"/>
  <c r="D20" i="4"/>
  <c r="C20" i="4"/>
  <c r="B20" i="4"/>
  <c r="A20" i="4"/>
  <c r="I19" i="4"/>
  <c r="H19" i="4"/>
  <c r="G19" i="4"/>
  <c r="F19" i="4"/>
  <c r="E19" i="4"/>
  <c r="D19" i="4"/>
  <c r="C19" i="4"/>
  <c r="B19" i="4"/>
  <c r="A19" i="4"/>
  <c r="A29" i="1" s="1"/>
  <c r="H18" i="4"/>
  <c r="G18" i="4"/>
  <c r="F18" i="4"/>
  <c r="E18" i="4"/>
  <c r="D18" i="4"/>
  <c r="I18" i="4" s="1"/>
  <c r="C18" i="4"/>
  <c r="B18" i="4"/>
  <c r="A18" i="4"/>
  <c r="H17" i="4"/>
  <c r="G17" i="4"/>
  <c r="F17" i="4"/>
  <c r="E17" i="4"/>
  <c r="D17" i="4"/>
  <c r="I17" i="4" s="1"/>
  <c r="C17" i="4"/>
  <c r="B17" i="4"/>
  <c r="A17" i="4"/>
  <c r="H16" i="4"/>
  <c r="G16" i="4"/>
  <c r="F16" i="4"/>
  <c r="E16" i="4"/>
  <c r="D16" i="4"/>
  <c r="I16" i="4" s="1"/>
  <c r="C16" i="4"/>
  <c r="B16" i="4"/>
  <c r="A16" i="4"/>
  <c r="H15" i="4"/>
  <c r="I15" i="4" s="1"/>
  <c r="G15" i="4"/>
  <c r="F15" i="4"/>
  <c r="E15" i="4"/>
  <c r="D15" i="4"/>
  <c r="C15" i="4"/>
  <c r="B15" i="4"/>
  <c r="A15" i="4"/>
  <c r="H14" i="4"/>
  <c r="G24" i="1" s="1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A23" i="1" s="1"/>
  <c r="H12" i="4"/>
  <c r="I12" i="4" s="1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H10" i="4"/>
  <c r="G10" i="4"/>
  <c r="F10" i="4"/>
  <c r="E10" i="4"/>
  <c r="D10" i="4"/>
  <c r="I10" i="4" s="1"/>
  <c r="C10" i="4"/>
  <c r="B20" i="1" s="1"/>
  <c r="B10" i="4"/>
  <c r="A10" i="4"/>
  <c r="H9" i="4"/>
  <c r="G9" i="4"/>
  <c r="F9" i="4"/>
  <c r="E9" i="4"/>
  <c r="D9" i="4"/>
  <c r="C19" i="1" s="1"/>
  <c r="C9" i="4"/>
  <c r="B9" i="4"/>
  <c r="A9" i="4"/>
  <c r="H8" i="4"/>
  <c r="G8" i="4"/>
  <c r="F8" i="4"/>
  <c r="E8" i="4"/>
  <c r="D18" i="1" s="1"/>
  <c r="D8" i="4"/>
  <c r="I8" i="4" s="1"/>
  <c r="C8" i="4"/>
  <c r="B8" i="4"/>
  <c r="A8" i="4"/>
  <c r="I7" i="4"/>
  <c r="H7" i="4"/>
  <c r="G7" i="4"/>
  <c r="F7" i="4"/>
  <c r="E17" i="1" s="1"/>
  <c r="E7" i="4"/>
  <c r="D17" i="1" s="1"/>
  <c r="D7" i="4"/>
  <c r="C7" i="4"/>
  <c r="B7" i="4"/>
  <c r="A7" i="4"/>
  <c r="H6" i="4"/>
  <c r="G6" i="4"/>
  <c r="F6" i="4"/>
  <c r="E16" i="1" s="1"/>
  <c r="E6" i="4"/>
  <c r="D6" i="4"/>
  <c r="I6" i="4" s="1"/>
  <c r="C6" i="4"/>
  <c r="B6" i="4"/>
  <c r="A6" i="4"/>
  <c r="I5" i="4"/>
  <c r="H5" i="4"/>
  <c r="G5" i="4"/>
  <c r="F15" i="1" s="1"/>
  <c r="F5" i="4"/>
  <c r="E5" i="4"/>
  <c r="D5" i="4"/>
  <c r="C5" i="4"/>
  <c r="B5" i="4"/>
  <c r="A5" i="4"/>
  <c r="I4" i="4"/>
  <c r="H4" i="4"/>
  <c r="H39" i="4" s="1"/>
  <c r="G4" i="4"/>
  <c r="F4" i="4"/>
  <c r="E4" i="4"/>
  <c r="D4" i="4"/>
  <c r="C4" i="4"/>
  <c r="B4" i="4"/>
  <c r="A4" i="4"/>
  <c r="I3" i="4"/>
  <c r="H3" i="4"/>
  <c r="G3" i="4"/>
  <c r="F3" i="4"/>
  <c r="E3" i="4"/>
  <c r="D3" i="4"/>
  <c r="C3" i="4"/>
  <c r="B3" i="4"/>
  <c r="A3" i="4"/>
  <c r="C45" i="4" s="1"/>
  <c r="C55" i="1" s="1"/>
  <c r="F75" i="3"/>
  <c r="E75" i="3"/>
  <c r="D75" i="3"/>
  <c r="H39" i="2"/>
  <c r="G39" i="2"/>
  <c r="F39" i="2"/>
  <c r="E39" i="2"/>
  <c r="D39" i="2"/>
  <c r="A55" i="1"/>
  <c r="A54" i="1"/>
  <c r="A53" i="1"/>
  <c r="E48" i="1"/>
  <c r="D48" i="1"/>
  <c r="C48" i="1"/>
  <c r="B48" i="1"/>
  <c r="A48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A45" i="1"/>
  <c r="G44" i="1"/>
  <c r="F44" i="1"/>
  <c r="E44" i="1"/>
  <c r="D44" i="1"/>
  <c r="A44" i="1"/>
  <c r="G43" i="1"/>
  <c r="F43" i="1"/>
  <c r="E43" i="1"/>
  <c r="D43" i="1"/>
  <c r="C43" i="1"/>
  <c r="A43" i="1"/>
  <c r="G42" i="1"/>
  <c r="F42" i="1"/>
  <c r="E42" i="1"/>
  <c r="C42" i="1"/>
  <c r="B42" i="1"/>
  <c r="A42" i="1"/>
  <c r="G41" i="1"/>
  <c r="F41" i="1"/>
  <c r="E41" i="1"/>
  <c r="D41" i="1"/>
  <c r="C41" i="1"/>
  <c r="B41" i="1"/>
  <c r="A41" i="1"/>
  <c r="E40" i="1"/>
  <c r="D40" i="1"/>
  <c r="C40" i="1"/>
  <c r="B40" i="1"/>
  <c r="A40" i="1"/>
  <c r="G39" i="1"/>
  <c r="E39" i="1"/>
  <c r="D39" i="1"/>
  <c r="C39" i="1"/>
  <c r="B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A36" i="1"/>
  <c r="G35" i="1"/>
  <c r="F35" i="1"/>
  <c r="E35" i="1"/>
  <c r="C35" i="1"/>
  <c r="A35" i="1"/>
  <c r="G34" i="1"/>
  <c r="F34" i="1"/>
  <c r="C34" i="1"/>
  <c r="B34" i="1"/>
  <c r="A34" i="1"/>
  <c r="G33" i="1"/>
  <c r="F33" i="1"/>
  <c r="E33" i="1"/>
  <c r="D33" i="1"/>
  <c r="C33" i="1"/>
  <c r="B33" i="1"/>
  <c r="A33" i="1"/>
  <c r="F32" i="1"/>
  <c r="D32" i="1"/>
  <c r="C32" i="1"/>
  <c r="B32" i="1"/>
  <c r="A32" i="1"/>
  <c r="G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F24" i="1"/>
  <c r="E24" i="1"/>
  <c r="D24" i="1"/>
  <c r="C24" i="1"/>
  <c r="B24" i="1"/>
  <c r="A24" i="1"/>
  <c r="G23" i="1"/>
  <c r="F23" i="1"/>
  <c r="E23" i="1"/>
  <c r="D23" i="1"/>
  <c r="C23" i="1"/>
  <c r="B23" i="1"/>
  <c r="M22" i="1"/>
  <c r="L22" i="1"/>
  <c r="K22" i="1"/>
  <c r="J22" i="1"/>
  <c r="I22" i="1"/>
  <c r="G22" i="1"/>
  <c r="F22" i="1"/>
  <c r="E22" i="1"/>
  <c r="D22" i="1"/>
  <c r="C22" i="1"/>
  <c r="B22" i="1"/>
  <c r="A22" i="1"/>
  <c r="M21" i="1"/>
  <c r="L21" i="1"/>
  <c r="K21" i="1"/>
  <c r="J21" i="1"/>
  <c r="I21" i="1"/>
  <c r="G21" i="1"/>
  <c r="F21" i="1"/>
  <c r="E21" i="1"/>
  <c r="D21" i="1"/>
  <c r="C21" i="1"/>
  <c r="B21" i="1"/>
  <c r="A21" i="1"/>
  <c r="M20" i="1"/>
  <c r="L20" i="1"/>
  <c r="K20" i="1"/>
  <c r="J20" i="1"/>
  <c r="I20" i="1"/>
  <c r="G20" i="1"/>
  <c r="F20" i="1"/>
  <c r="E20" i="1"/>
  <c r="D20" i="1"/>
  <c r="A20" i="1"/>
  <c r="M19" i="1"/>
  <c r="L19" i="1"/>
  <c r="K19" i="1"/>
  <c r="J19" i="1"/>
  <c r="I19" i="1"/>
  <c r="G19" i="1"/>
  <c r="F19" i="1"/>
  <c r="E19" i="1"/>
  <c r="D19" i="1"/>
  <c r="B19" i="1"/>
  <c r="A19" i="1"/>
  <c r="L18" i="1"/>
  <c r="K18" i="1"/>
  <c r="J18" i="1"/>
  <c r="I18" i="1"/>
  <c r="G18" i="1"/>
  <c r="F18" i="1"/>
  <c r="E18" i="1"/>
  <c r="B18" i="1"/>
  <c r="A18" i="1"/>
  <c r="K17" i="1"/>
  <c r="J17" i="1"/>
  <c r="I17" i="1"/>
  <c r="G17" i="1"/>
  <c r="F17" i="1"/>
  <c r="C17" i="1"/>
  <c r="B17" i="1"/>
  <c r="A17" i="1"/>
  <c r="M16" i="1"/>
  <c r="L16" i="1"/>
  <c r="K16" i="1"/>
  <c r="J16" i="1"/>
  <c r="I16" i="1"/>
  <c r="G16" i="1"/>
  <c r="F16" i="1"/>
  <c r="D16" i="1"/>
  <c r="C16" i="1"/>
  <c r="B16" i="1"/>
  <c r="A16" i="1"/>
  <c r="M15" i="1"/>
  <c r="L15" i="1"/>
  <c r="K15" i="1"/>
  <c r="J15" i="1"/>
  <c r="I15" i="1"/>
  <c r="G15" i="1"/>
  <c r="E15" i="1"/>
  <c r="D15" i="1"/>
  <c r="C15" i="1"/>
  <c r="B15" i="1"/>
  <c r="A15" i="1"/>
  <c r="M14" i="1"/>
  <c r="L14" i="1"/>
  <c r="K14" i="1"/>
  <c r="J14" i="1"/>
  <c r="I14" i="1"/>
  <c r="F14" i="1"/>
  <c r="E14" i="1"/>
  <c r="D14" i="1"/>
  <c r="C14" i="1"/>
  <c r="B14" i="1"/>
  <c r="A14" i="1"/>
  <c r="M13" i="1"/>
  <c r="L13" i="1"/>
  <c r="K13" i="1"/>
  <c r="J13" i="1"/>
  <c r="I13" i="1"/>
  <c r="G13" i="1"/>
  <c r="F13" i="1"/>
  <c r="E13" i="1"/>
  <c r="D13" i="1"/>
  <c r="C13" i="1"/>
  <c r="B13" i="1"/>
  <c r="G49" i="1" l="1"/>
  <c r="A7" i="1"/>
  <c r="G14" i="1"/>
  <c r="C18" i="1"/>
  <c r="I34" i="4"/>
  <c r="C44" i="1"/>
  <c r="G7" i="5"/>
  <c r="M18" i="1"/>
  <c r="C20" i="1"/>
  <c r="D39" i="4"/>
  <c r="I14" i="4"/>
  <c r="B43" i="4"/>
  <c r="E76" i="5"/>
  <c r="I9" i="4"/>
  <c r="B45" i="4"/>
  <c r="B55" i="1" s="1"/>
  <c r="F76" i="5"/>
  <c r="F39" i="4"/>
  <c r="E49" i="1" s="1"/>
  <c r="E39" i="4"/>
  <c r="D49" i="1" s="1"/>
  <c r="G3" i="5"/>
  <c r="C44" i="4"/>
  <c r="B44" i="4"/>
  <c r="C43" i="4"/>
  <c r="A13" i="1"/>
  <c r="G75" i="3"/>
  <c r="G39" i="4"/>
  <c r="F49" i="1" s="1"/>
  <c r="I26" i="4"/>
  <c r="C36" i="1"/>
  <c r="H74" i="5" l="1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N22" i="1" s="1"/>
  <c r="H11" i="5"/>
  <c r="N21" i="1" s="1"/>
  <c r="H10" i="5"/>
  <c r="N20" i="1" s="1"/>
  <c r="H9" i="5"/>
  <c r="N19" i="1" s="1"/>
  <c r="H8" i="5"/>
  <c r="N18" i="1" s="1"/>
  <c r="H7" i="5"/>
  <c r="N17" i="1" s="1"/>
  <c r="H6" i="5"/>
  <c r="N16" i="1" s="1"/>
  <c r="H5" i="5"/>
  <c r="N15" i="1" s="1"/>
  <c r="H4" i="5"/>
  <c r="N14" i="1" s="1"/>
  <c r="H3" i="5"/>
  <c r="N13" i="1" s="1"/>
  <c r="E44" i="4"/>
  <c r="E54" i="1" s="1"/>
  <c r="C53" i="1"/>
  <c r="G76" i="5"/>
  <c r="I7" i="1"/>
  <c r="D45" i="4"/>
  <c r="D55" i="1" s="1"/>
  <c r="B54" i="1"/>
  <c r="D44" i="4"/>
  <c r="D54" i="1" s="1"/>
  <c r="B53" i="1"/>
  <c r="C49" i="1"/>
  <c r="E7" i="1"/>
  <c r="I39" i="4"/>
  <c r="L7" i="1" s="1"/>
  <c r="C54" i="1"/>
  <c r="E45" i="4"/>
  <c r="E55" i="1" s="1"/>
</calcChain>
</file>

<file path=xl/sharedStrings.xml><?xml version="1.0" encoding="utf-8"?>
<sst xmlns="http://schemas.openxmlformats.org/spreadsheetml/2006/main" count="264" uniqueCount="204">
  <si>
    <t>Source: Olist Brazilian E-Commerce Dataset (Kaggle)  ·  Delivered Orders Only  ·  Prepared by: Rifky Mardiansyah  ·  rifkymardiansyah.my.id</t>
  </si>
  <si>
    <t>Year</t>
  </si>
  <si>
    <t>Month</t>
  </si>
  <si>
    <t>Orders</t>
  </si>
  <si>
    <t>Items</t>
  </si>
  <si>
    <t>Price Rev (BRL)</t>
  </si>
  <si>
    <t>Freight (BRL)</t>
  </si>
  <si>
    <t>Total Rev (BRL)</t>
  </si>
  <si>
    <t>Rank</t>
  </si>
  <si>
    <t>Category</t>
  </si>
  <si>
    <t>Revenue (BRL)</t>
  </si>
  <si>
    <t>% of Total</t>
  </si>
  <si>
    <t>TOTAL</t>
  </si>
  <si>
    <t>—</t>
  </si>
  <si>
    <t>YoY Orders</t>
  </si>
  <si>
    <t>YoY Revenue</t>
  </si>
  <si>
    <t>First Year</t>
  </si>
  <si>
    <t>MonthNo</t>
  </si>
  <si>
    <t>MonthName</t>
  </si>
  <si>
    <t>Price Sum</t>
  </si>
  <si>
    <t>Freight Sum</t>
  </si>
  <si>
    <t>Total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</si>
  <si>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</si>
  <si>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</si>
  <si>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</si>
  <si>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</si>
  <si>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</si>
  <si>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</si>
  <si>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</si>
  <si>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</si>
  <si>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</si>
  <si>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</si>
  <si>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</si>
  <si>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</si>
  <si>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 (English)</t>
  </si>
  <si>
    <t>Category (Portuguese)</t>
  </si>
  <si>
    <t>Avg Item Price (BRL)</t>
  </si>
  <si>
    <t>Health Beauty</t>
  </si>
  <si>
    <t>beleza_saude</t>
  </si>
  <si>
    <t>Watches Gifts</t>
  </si>
  <si>
    <t>relogios_presentes</t>
  </si>
  <si>
    <t>Bed Bath Table</t>
  </si>
  <si>
    <t>cama_mesa_banho</t>
  </si>
  <si>
    <t>Sports Leisure</t>
  </si>
  <si>
    <t>esporte_lazer</t>
  </si>
  <si>
    <t>Computers Accessories</t>
  </si>
  <si>
    <t>informatica_acessorios</t>
  </si>
  <si>
    <t>Furniture Decor</t>
  </si>
  <si>
    <t>moveis_decoracao</t>
  </si>
  <si>
    <t>Housewares</t>
  </si>
  <si>
    <t>utilidades_domesticas</t>
  </si>
  <si>
    <t>Cool Stuff</t>
  </si>
  <si>
    <t>cool_stuff</t>
  </si>
  <si>
    <t>Auto</t>
  </si>
  <si>
    <t>automotivo</t>
  </si>
  <si>
    <t>Garden Tools</t>
  </si>
  <si>
    <t>ferramentas_jardim</t>
  </si>
  <si>
    <t>Toys</t>
  </si>
  <si>
    <t>brinquedos</t>
  </si>
  <si>
    <t>Baby</t>
  </si>
  <si>
    <t>bebes</t>
  </si>
  <si>
    <t>Perfumery</t>
  </si>
  <si>
    <t>perfumaria</t>
  </si>
  <si>
    <t>Telephony</t>
  </si>
  <si>
    <t>telefonia</t>
  </si>
  <si>
    <t>Office Furniture</t>
  </si>
  <si>
    <t>moveis_escritorio</t>
  </si>
  <si>
    <t>Stationery</t>
  </si>
  <si>
    <t>papelaria</t>
  </si>
  <si>
    <t>Pet Shop</t>
  </si>
  <si>
    <t>pet_shop</t>
  </si>
  <si>
    <t>Computers</t>
  </si>
  <si>
    <t>pcs</t>
  </si>
  <si>
    <t>Other</t>
  </si>
  <si>
    <t>portateis_cozinha_e_preparadores_de_alimentos</t>
  </si>
  <si>
    <t>Musical Instruments</t>
  </si>
  <si>
    <t>instrumentos_musicais</t>
  </si>
  <si>
    <t>Electronics</t>
  </si>
  <si>
    <t>eletronicos</t>
  </si>
  <si>
    <t>Small Appliances</t>
  </si>
  <si>
    <t>eletroportateis</t>
  </si>
  <si>
    <t>Fashion Bags Accessories</t>
  </si>
  <si>
    <t>fashion_bolsas_e_acessorios</t>
  </si>
  <si>
    <t>Luggage Accessories</t>
  </si>
  <si>
    <t>malas_acessorios</t>
  </si>
  <si>
    <t>Consoles Games</t>
  </si>
  <si>
    <t>consoles_games</t>
  </si>
  <si>
    <t>Construction Tools Construction</t>
  </si>
  <si>
    <t>construcao_ferramentas_construcao</t>
  </si>
  <si>
    <t>Home Appliances 2</t>
  </si>
  <si>
    <t>eletrodomesticos_2</t>
  </si>
  <si>
    <t>Home Construction</t>
  </si>
  <si>
    <t>casa_construcao</t>
  </si>
  <si>
    <t>Home Appliances</t>
  </si>
  <si>
    <t>eletrodomesticos</t>
  </si>
  <si>
    <t>Furniture Living Room</t>
  </si>
  <si>
    <t>moveis_sala</t>
  </si>
  <si>
    <t>Agro Industry And Commerce</t>
  </si>
  <si>
    <t>agro_industria_e_comercio</t>
  </si>
  <si>
    <t>Home Confort</t>
  </si>
  <si>
    <t>casa_conforto</t>
  </si>
  <si>
    <t>Air Conditioning</t>
  </si>
  <si>
    <t>climatizacao</t>
  </si>
  <si>
    <t>Fixed Telephony</t>
  </si>
  <si>
    <t>telefonia_fixa</t>
  </si>
  <si>
    <t>Kitchen Dining Laundry Garden Furniture</t>
  </si>
  <si>
    <t>moveis_cozinha_area_de_servico_jantar_e_jardim</t>
  </si>
  <si>
    <t>Audio</t>
  </si>
  <si>
    <t>audio</t>
  </si>
  <si>
    <t>Books General Interest</t>
  </si>
  <si>
    <t>livros_interesse_geral</t>
  </si>
  <si>
    <t>Small Appliances Home Oven And Coffee</t>
  </si>
  <si>
    <t>portateis_casa_forno_e_cafe</t>
  </si>
  <si>
    <t>Construction Tools Lights</t>
  </si>
  <si>
    <t>construcao_ferramentas_iluminacao</t>
  </si>
  <si>
    <t>Industry Commerce And Business</t>
  </si>
  <si>
    <t>industria_comercio_e_negocios</t>
  </si>
  <si>
    <t>Construction Tools Safety</t>
  </si>
  <si>
    <t>construcao_ferramentas_seguranca</t>
  </si>
  <si>
    <t>Food</t>
  </si>
  <si>
    <t>alimentos</t>
  </si>
  <si>
    <t>Market Place</t>
  </si>
  <si>
    <t>market_place</t>
  </si>
  <si>
    <t>Costruction Tools Garden</t>
  </si>
  <si>
    <t>construcao_ferramentas_jardim</t>
  </si>
  <si>
    <t>Fashion Shoes</t>
  </si>
  <si>
    <t>fashion_calcados</t>
  </si>
  <si>
    <t>Signaling And Security</t>
  </si>
  <si>
    <t>sinalizacao_e_seguranca</t>
  </si>
  <si>
    <t>Art</t>
  </si>
  <si>
    <t>artes</t>
  </si>
  <si>
    <t>Drinks</t>
  </si>
  <si>
    <t>bebidas</t>
  </si>
  <si>
    <t>Furniture Bedroom</t>
  </si>
  <si>
    <t>moveis_quarto</t>
  </si>
  <si>
    <t>Books Technical</t>
  </si>
  <si>
    <t>livros_tecnicos</t>
  </si>
  <si>
    <t>Food Drink</t>
  </si>
  <si>
    <t>alimentos_bebidas</t>
  </si>
  <si>
    <t>Costruction Tools Tools</t>
  </si>
  <si>
    <t>construcao_ferramentas_ferramentas</t>
  </si>
  <si>
    <t>Fashion Male Clothing</t>
  </si>
  <si>
    <t>fashion_roupa_masculina</t>
  </si>
  <si>
    <t>Christmas Supplies</t>
  </si>
  <si>
    <t>artigos_de_natal</t>
  </si>
  <si>
    <t>Fashion Underwear Beach</t>
  </si>
  <si>
    <t>fashion_underwear_e_moda_praia</t>
  </si>
  <si>
    <t>Tablets Printing Image</t>
  </si>
  <si>
    <t>tablets_impressao_imagem</t>
  </si>
  <si>
    <t>Cine Photo</t>
  </si>
  <si>
    <t>cine_foto</t>
  </si>
  <si>
    <t>Music</t>
  </si>
  <si>
    <t>musica</t>
  </si>
  <si>
    <t>Furniture Mattress And Upholstery</t>
  </si>
  <si>
    <t>moveis_colchao_e_estofado</t>
  </si>
  <si>
    <t>Dvds Blu Ray</t>
  </si>
  <si>
    <t>dvds_blu_ray</t>
  </si>
  <si>
    <t>Party Supplies</t>
  </si>
  <si>
    <t>artigos_de_festas</t>
  </si>
  <si>
    <t>Books Imported</t>
  </si>
  <si>
    <t>livros_importados</t>
  </si>
  <si>
    <t>Fashio Female Clothing</t>
  </si>
  <si>
    <t>fashion_roupa_feminina</t>
  </si>
  <si>
    <t>Fashion Sport</t>
  </si>
  <si>
    <t>fashion_esporte</t>
  </si>
  <si>
    <t>La Cuisine</t>
  </si>
  <si>
    <t>la_cuisine</t>
  </si>
  <si>
    <t>Arts And Craftmanship</t>
  </si>
  <si>
    <t>artes_e_artesanato</t>
  </si>
  <si>
    <t>Diapers And Hygiene</t>
  </si>
  <si>
    <t>fraldas_higiene</t>
  </si>
  <si>
    <t>Flowers</t>
  </si>
  <si>
    <t>flores</t>
  </si>
  <si>
    <t>Home Comfort 2</t>
  </si>
  <si>
    <t>casa_conforto_2</t>
  </si>
  <si>
    <t>Cds Dvds Musicals</t>
  </si>
  <si>
    <t>cds_dvds_musicais</t>
  </si>
  <si>
    <t>Fashion Childrens Clothes</t>
  </si>
  <si>
    <t>fashion_roupa_infanto_juvenil</t>
  </si>
  <si>
    <t>Security And Services</t>
  </si>
  <si>
    <t>seguros_e_servicos</t>
  </si>
  <si>
    <t>ALL CATEGORIES</t>
  </si>
  <si>
    <t>Total Orders</t>
  </si>
  <si>
    <t>Items Sold</t>
  </si>
  <si>
    <t>Price Revenue (BRL)</t>
  </si>
  <si>
    <t>Freight Revenue (BRL)</t>
  </si>
  <si>
    <t>Total Revenue (BRL)</t>
  </si>
  <si>
    <t>Avg Order Value (BRL)</t>
  </si>
  <si>
    <t>YEAR-ON-YEAR PERFORMANCE</t>
  </si>
  <si>
    <t>YoY Order Growth</t>
  </si>
  <si>
    <t>YoY Revenue Growth</t>
  </si>
  <si>
    <t>% of Total Revenue</t>
  </si>
  <si>
    <t>100.00%</t>
  </si>
  <si>
    <t>Delivered Orders</t>
  </si>
  <si>
    <t>Total Items Sold</t>
  </si>
  <si>
    <t>Top 10 Categories by Revenue</t>
  </si>
  <si>
    <t>Monthly Revenue &amp; Orders</t>
  </si>
  <si>
    <t>PRODUCT CATEGORY PERFORMANCE - FORMULA-BASED</t>
  </si>
  <si>
    <t>MONTHLY SALES SUMMARY - OLIST E-COMMERCE (DELIVERED ORDERS ONLY)</t>
  </si>
  <si>
    <t>CATEGORY AGGREGATED DATA</t>
  </si>
  <si>
    <t>MONTHLY AGGREGATED DATA</t>
  </si>
  <si>
    <t>Year-on-Year Growth</t>
  </si>
  <si>
    <t>-</t>
  </si>
  <si>
    <t>OLIST E-COMMERCE - SALES PERFORMANCE DASHBOARD  (2016-2018)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</si>
</sst>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20"/>
      <color rgb="FF1A1A2E"/>
      <name val="Arial"/>
      <charset val="1"/>
    </font>
    <font>
      <b/>
      <sz val="10"/>
      <color rgb="FFFFFFFF"/>
      <name val="Arial"/>
      <charset val="1"/>
    </font>
    <font>
      <sz val="9"/>
      <color rgb="FF2C3E50"/>
      <name val="Arial"/>
      <charset val="1"/>
    </font>
    <font>
      <sz val="10"/>
      <color rgb="FF2C3E50"/>
      <name val="Arial"/>
      <charset val="1"/>
    </font>
    <font>
      <b/>
      <sz val="12"/>
      <color rgb="FFFFFF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0F3460"/>
        <bgColor rgb="FF2C3E50"/>
      </patternFill>
    </fill>
    <fill>
      <patternFill patternType="solid">
        <fgColor rgb="FFF4F6F9"/>
        <bgColor rgb="FFFFFFFF"/>
      </patternFill>
    </fill>
    <fill>
      <patternFill patternType="solid">
        <fgColor rgb="FFFFFFFF"/>
        <bgColor rgb="FFF4F6F9"/>
      </patternFill>
    </fill>
  </fills>
  <borders count="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5D8D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3" fontId="4" fillId="4" borderId="0" xfId="0" applyNumberFormat="1" applyFont="1" applyFill="1" applyBorder="1" applyAlignment="1">
      <alignment horizontal="center" vertical="center" wrapText="1"/>
    </xf>
    <xf numFmtId="4" fontId="4" fillId="4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10" fontId="6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10" fontId="6" fillId="4" borderId="1" xfId="0" applyNumberFormat="1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7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10" fontId="7" fillId="4" borderId="1" xfId="0" applyNumberFormat="1" applyFont="1" applyFill="1" applyBorder="1" applyAlignment="1">
      <alignment horizontal="center" vertical="center" wrapText="1"/>
    </xf>
    <xf numFmtId="10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4F6F9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showGridLines="0" tabSelected="1" zoomScaleNormal="100" workbookViewId="0">
      <selection activeCell="I18" sqref="I18"/>
    </sheetView>
  </sheetViews>
  <sheetFormatPr defaultColWidth="8.7109375" defaultRowHeight="15" x14ac:dyDescent="0.25"/>
  <cols>
    <col min="1" max="19" width="16" customWidth="1"/>
  </cols>
  <sheetData>
    <row r="1" spans="1:14" ht="31.5" customHeight="1" x14ac:dyDescent="0.25">
      <c r="A1" s="7" t="s">
        <v>203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8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8" customHeight="1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8" customHeight="1" x14ac:dyDescent="0.25"/>
    <row r="5" spans="1:14" ht="18" customHeight="1" x14ac:dyDescent="0.25">
      <c r="A5" s="5" t="s">
        <v>186</v>
      </c>
      <c r="B5" s="5"/>
      <c r="C5" s="5"/>
      <c r="D5" s="5"/>
      <c r="E5" s="5" t="s">
        <v>193</v>
      </c>
      <c r="F5" s="5"/>
      <c r="G5" s="5"/>
      <c r="H5" s="5"/>
      <c r="I5" s="5" t="s">
        <v>194</v>
      </c>
      <c r="J5" s="5"/>
      <c r="K5" s="5"/>
      <c r="L5" s="5" t="s">
        <v>187</v>
      </c>
      <c r="M5" s="5"/>
      <c r="N5" s="5"/>
    </row>
    <row r="6" spans="1:14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8" customHeight="1" x14ac:dyDescent="0.25">
      <c r="A7" s="4">
        <f>'Monthly Summary'!H39</f>
        <v>15419773.749999998</v>
      </c>
      <c r="B7" s="4"/>
      <c r="C7" s="4"/>
      <c r="D7" s="4"/>
      <c r="E7" s="3">
        <f>'Monthly Summary'!D39</f>
        <v>96478</v>
      </c>
      <c r="F7" s="3"/>
      <c r="G7" s="3"/>
      <c r="H7" s="3"/>
      <c r="I7" s="3">
        <f>'Category Summary'!E76</f>
        <v>110197</v>
      </c>
      <c r="J7" s="3"/>
      <c r="K7" s="3"/>
      <c r="L7" s="4">
        <f>'Monthly Summary'!I39</f>
        <v>159.82683876116832</v>
      </c>
      <c r="M7" s="4"/>
      <c r="N7" s="4"/>
    </row>
    <row r="8" spans="1:14" ht="18" customHeight="1" x14ac:dyDescent="0.25">
      <c r="A8" s="4"/>
      <c r="B8" s="4"/>
      <c r="C8" s="4"/>
      <c r="D8" s="4"/>
      <c r="E8" s="3"/>
      <c r="F8" s="3"/>
      <c r="G8" s="3"/>
      <c r="H8" s="3"/>
      <c r="I8" s="3"/>
      <c r="J8" s="3"/>
      <c r="K8" s="3"/>
      <c r="L8" s="4"/>
      <c r="M8" s="4"/>
      <c r="N8" s="4"/>
    </row>
    <row r="9" spans="1:14" ht="18" customHeight="1" x14ac:dyDescent="0.25">
      <c r="A9" s="4"/>
      <c r="B9" s="4"/>
      <c r="C9" s="4"/>
      <c r="D9" s="4"/>
      <c r="E9" s="3"/>
      <c r="F9" s="3"/>
      <c r="G9" s="3"/>
      <c r="H9" s="3"/>
      <c r="I9" s="3"/>
      <c r="J9" s="3"/>
      <c r="K9" s="3"/>
      <c r="L9" s="4"/>
      <c r="M9" s="4"/>
      <c r="N9" s="4"/>
    </row>
    <row r="10" spans="1:14" ht="18" customHeight="1" x14ac:dyDescent="0.25"/>
    <row r="11" spans="1:14" ht="18" customHeight="1" x14ac:dyDescent="0.25">
      <c r="A11" s="5" t="s">
        <v>196</v>
      </c>
      <c r="B11" s="5"/>
      <c r="C11" s="5"/>
      <c r="D11" s="5"/>
      <c r="E11" s="5"/>
      <c r="F11" s="5"/>
      <c r="G11" s="5"/>
      <c r="I11" s="5" t="s">
        <v>195</v>
      </c>
      <c r="J11" s="5"/>
      <c r="K11" s="5"/>
      <c r="L11" s="5"/>
      <c r="M11" s="5"/>
      <c r="N11" s="5"/>
    </row>
    <row r="12" spans="1:14" ht="18" customHeight="1" x14ac:dyDescent="0.25">
      <c r="A12" s="8" t="s">
        <v>1</v>
      </c>
      <c r="B12" s="8" t="s">
        <v>2</v>
      </c>
      <c r="C12" s="8" t="s">
        <v>3</v>
      </c>
      <c r="D12" s="8" t="s">
        <v>4</v>
      </c>
      <c r="E12" s="8" t="s">
        <v>5</v>
      </c>
      <c r="F12" s="8" t="s">
        <v>6</v>
      </c>
      <c r="G12" s="8" t="s">
        <v>7</v>
      </c>
      <c r="I12" s="8" t="s">
        <v>8</v>
      </c>
      <c r="J12" s="8" t="s">
        <v>9</v>
      </c>
      <c r="K12" s="8" t="s">
        <v>3</v>
      </c>
      <c r="L12" s="8" t="s">
        <v>4</v>
      </c>
      <c r="M12" s="8" t="s">
        <v>10</v>
      </c>
      <c r="N12" s="8" t="s">
        <v>11</v>
      </c>
    </row>
    <row r="13" spans="1:14" ht="18" customHeight="1" x14ac:dyDescent="0.25">
      <c r="A13" s="9">
        <f>'Monthly Summary'!A3</f>
        <v>2016</v>
      </c>
      <c r="B13" s="9" t="str">
        <f>'Monthly Summary'!C3</f>
        <v>Jan</v>
      </c>
      <c r="C13" s="9">
        <f>'Monthly Summary'!D3</f>
        <v>0</v>
      </c>
      <c r="D13" s="9">
        <f>'Monthly Summary'!E3</f>
        <v>0</v>
      </c>
      <c r="E13" s="10">
        <f>'Monthly Summary'!F3</f>
        <v>0</v>
      </c>
      <c r="F13" s="10">
        <f>'Monthly Summary'!G3</f>
        <v>0</v>
      </c>
      <c r="G13" s="10">
        <f>'Monthly Summary'!H3</f>
        <v>0</v>
      </c>
      <c r="I13" s="9">
        <f>'Category Summary'!A3</f>
        <v>1</v>
      </c>
      <c r="J13" s="11" t="str">
        <f>'Category Summary'!B3</f>
        <v>Health Beauty</v>
      </c>
      <c r="K13" s="9">
        <f>'Category Summary'!D3</f>
        <v>8647</v>
      </c>
      <c r="L13" s="9">
        <f>'Category Summary'!E3</f>
        <v>9465</v>
      </c>
      <c r="M13" s="10">
        <f>'Category Summary'!F3</f>
        <v>1412089.53</v>
      </c>
      <c r="N13" s="12">
        <f>'Category Summary'!H3</f>
        <v>9.1576540155136887E-2</v>
      </c>
    </row>
    <row r="14" spans="1:14" ht="18" customHeight="1" x14ac:dyDescent="0.25">
      <c r="A14" s="13">
        <f>'Monthly Summary'!A4</f>
        <v>2016</v>
      </c>
      <c r="B14" s="13" t="str">
        <f>'Monthly Summary'!C4</f>
        <v>Feb</v>
      </c>
      <c r="C14" s="13">
        <f>'Monthly Summary'!D4</f>
        <v>0</v>
      </c>
      <c r="D14" s="13">
        <f>'Monthly Summary'!E4</f>
        <v>0</v>
      </c>
      <c r="E14" s="14">
        <f>'Monthly Summary'!F4</f>
        <v>0</v>
      </c>
      <c r="F14" s="14">
        <f>'Monthly Summary'!G4</f>
        <v>0</v>
      </c>
      <c r="G14" s="14">
        <f>'Monthly Summary'!H4</f>
        <v>0</v>
      </c>
      <c r="I14" s="13">
        <f>'Category Summary'!A4</f>
        <v>2</v>
      </c>
      <c r="J14" s="15" t="str">
        <f>'Category Summary'!B4</f>
        <v>Watches Gifts</v>
      </c>
      <c r="K14" s="13">
        <f>'Category Summary'!D4</f>
        <v>5495</v>
      </c>
      <c r="L14" s="13">
        <f>'Category Summary'!E4</f>
        <v>5859</v>
      </c>
      <c r="M14" s="14">
        <f>'Category Summary'!F4</f>
        <v>1264333.1200000001</v>
      </c>
      <c r="N14" s="16">
        <f>'Category Summary'!H4</f>
        <v>8.1994271803112598E-2</v>
      </c>
    </row>
    <row r="15" spans="1:14" ht="18" customHeight="1" x14ac:dyDescent="0.25">
      <c r="A15" s="9">
        <f>'Monthly Summary'!A5</f>
        <v>2016</v>
      </c>
      <c r="B15" s="9" t="str">
        <f>'Monthly Summary'!C5</f>
        <v>Mar</v>
      </c>
      <c r="C15" s="9">
        <f>'Monthly Summary'!D5</f>
        <v>0</v>
      </c>
      <c r="D15" s="9">
        <f>'Monthly Summary'!E5</f>
        <v>0</v>
      </c>
      <c r="E15" s="10">
        <f>'Monthly Summary'!F5</f>
        <v>0</v>
      </c>
      <c r="F15" s="10">
        <f>'Monthly Summary'!G5</f>
        <v>0</v>
      </c>
      <c r="G15" s="10">
        <f>'Monthly Summary'!H5</f>
        <v>0</v>
      </c>
      <c r="I15" s="9">
        <f>'Category Summary'!A5</f>
        <v>3</v>
      </c>
      <c r="J15" s="11" t="str">
        <f>'Category Summary'!B5</f>
        <v>Bed Bath Table</v>
      </c>
      <c r="K15" s="9">
        <f>'Category Summary'!D5</f>
        <v>9272</v>
      </c>
      <c r="L15" s="9">
        <f>'Category Summary'!E5</f>
        <v>10953</v>
      </c>
      <c r="M15" s="10">
        <f>'Category Summary'!F5</f>
        <v>1225209.26</v>
      </c>
      <c r="N15" s="12">
        <f>'Category Summary'!H5</f>
        <v>7.945701927046761E-2</v>
      </c>
    </row>
    <row r="16" spans="1:14" ht="18" customHeight="1" x14ac:dyDescent="0.25">
      <c r="A16" s="13">
        <f>'Monthly Summary'!A6</f>
        <v>2016</v>
      </c>
      <c r="B16" s="13" t="str">
        <f>'Monthly Summary'!C6</f>
        <v>Apr</v>
      </c>
      <c r="C16" s="13">
        <f>'Monthly Summary'!D6</f>
        <v>0</v>
      </c>
      <c r="D16" s="13">
        <f>'Monthly Summary'!E6</f>
        <v>0</v>
      </c>
      <c r="E16" s="14">
        <f>'Monthly Summary'!F6</f>
        <v>0</v>
      </c>
      <c r="F16" s="14">
        <f>'Monthly Summary'!G6</f>
        <v>0</v>
      </c>
      <c r="G16" s="14">
        <f>'Monthly Summary'!H6</f>
        <v>0</v>
      </c>
      <c r="I16" s="13">
        <f>'Category Summary'!A6</f>
        <v>4</v>
      </c>
      <c r="J16" s="15" t="str">
        <f>'Category Summary'!B6</f>
        <v>Sports Leisure</v>
      </c>
      <c r="K16" s="13">
        <f>'Category Summary'!D6</f>
        <v>7530</v>
      </c>
      <c r="L16" s="13">
        <f>'Category Summary'!E6</f>
        <v>8431</v>
      </c>
      <c r="M16" s="14">
        <f>'Category Summary'!F6</f>
        <v>1118256.9099999999</v>
      </c>
      <c r="N16" s="16">
        <f>'Category Summary'!H6</f>
        <v>7.2520967436373734E-2</v>
      </c>
    </row>
    <row r="17" spans="1:14" ht="18" customHeight="1" x14ac:dyDescent="0.25">
      <c r="A17" s="9">
        <f>'Monthly Summary'!A7</f>
        <v>2016</v>
      </c>
      <c r="B17" s="9" t="str">
        <f>'Monthly Summary'!C7</f>
        <v>May</v>
      </c>
      <c r="C17" s="9">
        <f>'Monthly Summary'!D7</f>
        <v>0</v>
      </c>
      <c r="D17" s="9">
        <f>'Monthly Summary'!E7</f>
        <v>0</v>
      </c>
      <c r="E17" s="10">
        <f>'Monthly Summary'!F7</f>
        <v>0</v>
      </c>
      <c r="F17" s="10">
        <f>'Monthly Summary'!G7</f>
        <v>0</v>
      </c>
      <c r="G17" s="10">
        <f>'Monthly Summary'!H7</f>
        <v>0</v>
      </c>
      <c r="I17" s="9">
        <f>'Category Summary'!A7</f>
        <v>5</v>
      </c>
      <c r="J17" s="11" t="str">
        <f>'Category Summary'!B7</f>
        <v>Computers Accessories</v>
      </c>
      <c r="K17" s="9">
        <f>'Category Summary'!D7</f>
        <v>6530</v>
      </c>
      <c r="L17" s="9">
        <f>'Category Summary'!E7</f>
        <v>7644</v>
      </c>
      <c r="M17" s="10">
        <f>'Category Summary'!F7</f>
        <v>1032723.77</v>
      </c>
      <c r="N17" s="12">
        <f>'Category Summary'!H7</f>
        <v>6.6973989809675422E-2</v>
      </c>
    </row>
    <row r="18" spans="1:14" ht="18" customHeight="1" x14ac:dyDescent="0.25">
      <c r="A18" s="13">
        <f>'Monthly Summary'!A8</f>
        <v>2016</v>
      </c>
      <c r="B18" s="13" t="str">
        <f>'Monthly Summary'!C8</f>
        <v>Jun</v>
      </c>
      <c r="C18" s="13">
        <f>'Monthly Summary'!D8</f>
        <v>0</v>
      </c>
      <c r="D18" s="13">
        <f>'Monthly Summary'!E8</f>
        <v>0</v>
      </c>
      <c r="E18" s="14">
        <f>'Monthly Summary'!F8</f>
        <v>0</v>
      </c>
      <c r="F18" s="14">
        <f>'Monthly Summary'!G8</f>
        <v>0</v>
      </c>
      <c r="G18" s="14">
        <f>'Monthly Summary'!H8</f>
        <v>0</v>
      </c>
      <c r="I18" s="13">
        <f>'Category Summary'!A8</f>
        <v>6</v>
      </c>
      <c r="J18" s="15" t="str">
        <f>'Category Summary'!B8</f>
        <v>Furniture Decor</v>
      </c>
      <c r="K18" s="13">
        <f>'Category Summary'!D8</f>
        <v>6307</v>
      </c>
      <c r="L18" s="13">
        <f>'Category Summary'!E8</f>
        <v>8160</v>
      </c>
      <c r="M18" s="14">
        <f>'Category Summary'!F8</f>
        <v>880329.92</v>
      </c>
      <c r="N18" s="16">
        <f>'Category Summary'!H8</f>
        <v>5.7090975151305345E-2</v>
      </c>
    </row>
    <row r="19" spans="1:14" ht="18" customHeight="1" x14ac:dyDescent="0.25">
      <c r="A19" s="9">
        <f>'Monthly Summary'!A9</f>
        <v>2016</v>
      </c>
      <c r="B19" s="9" t="str">
        <f>'Monthly Summary'!C9</f>
        <v>Jul</v>
      </c>
      <c r="C19" s="9">
        <f>'Monthly Summary'!D9</f>
        <v>0</v>
      </c>
      <c r="D19" s="9">
        <f>'Monthly Summary'!E9</f>
        <v>0</v>
      </c>
      <c r="E19" s="10">
        <f>'Monthly Summary'!F9</f>
        <v>0</v>
      </c>
      <c r="F19" s="10">
        <f>'Monthly Summary'!G9</f>
        <v>0</v>
      </c>
      <c r="G19" s="10">
        <f>'Monthly Summary'!H9</f>
        <v>0</v>
      </c>
      <c r="I19" s="9">
        <f>'Category Summary'!A9</f>
        <v>7</v>
      </c>
      <c r="J19" s="11" t="str">
        <f>'Category Summary'!B9</f>
        <v>Housewares</v>
      </c>
      <c r="K19" s="9">
        <f>'Category Summary'!D9</f>
        <v>5743</v>
      </c>
      <c r="L19" s="9">
        <f>'Category Summary'!E9</f>
        <v>6795</v>
      </c>
      <c r="M19" s="10">
        <f>'Category Summary'!F9</f>
        <v>758392.25</v>
      </c>
      <c r="N19" s="12">
        <f>'Category Summary'!H9</f>
        <v>4.9183098422569294E-2</v>
      </c>
    </row>
    <row r="20" spans="1:14" ht="18" customHeight="1" x14ac:dyDescent="0.25">
      <c r="A20" s="13">
        <f>'Monthly Summary'!A10</f>
        <v>2016</v>
      </c>
      <c r="B20" s="13" t="str">
        <f>'Monthly Summary'!C10</f>
        <v>Aug</v>
      </c>
      <c r="C20" s="13">
        <f>'Monthly Summary'!D10</f>
        <v>0</v>
      </c>
      <c r="D20" s="13">
        <f>'Monthly Summary'!E10</f>
        <v>0</v>
      </c>
      <c r="E20" s="14">
        <f>'Monthly Summary'!F10</f>
        <v>0</v>
      </c>
      <c r="F20" s="14">
        <f>'Monthly Summary'!G10</f>
        <v>0</v>
      </c>
      <c r="G20" s="14">
        <f>'Monthly Summary'!H10</f>
        <v>0</v>
      </c>
      <c r="I20" s="13">
        <f>'Category Summary'!A10</f>
        <v>8</v>
      </c>
      <c r="J20" s="15" t="str">
        <f>'Category Summary'!B10</f>
        <v>Cool Stuff</v>
      </c>
      <c r="K20" s="13">
        <f>'Category Summary'!D10</f>
        <v>3559</v>
      </c>
      <c r="L20" s="13">
        <f>'Category Summary'!E10</f>
        <v>3718</v>
      </c>
      <c r="M20" s="14">
        <f>'Category Summary'!F10</f>
        <v>691680.89</v>
      </c>
      <c r="N20" s="16">
        <f>'Category Summary'!H10</f>
        <v>4.4856747006420915E-2</v>
      </c>
    </row>
    <row r="21" spans="1:14" ht="18" customHeight="1" x14ac:dyDescent="0.25">
      <c r="A21" s="9">
        <f>'Monthly Summary'!A11</f>
        <v>2016</v>
      </c>
      <c r="B21" s="9" t="str">
        <f>'Monthly Summary'!C11</f>
        <v>Sep</v>
      </c>
      <c r="C21" s="9">
        <f>'Monthly Summary'!D11</f>
        <v>1</v>
      </c>
      <c r="D21" s="9">
        <f>'Monthly Summary'!E11</f>
        <v>3</v>
      </c>
      <c r="E21" s="10">
        <f>'Monthly Summary'!F11</f>
        <v>134.97</v>
      </c>
      <c r="F21" s="10">
        <f>'Monthly Summary'!G11</f>
        <v>8.49</v>
      </c>
      <c r="G21" s="10">
        <f>'Monthly Summary'!H11</f>
        <v>143.46</v>
      </c>
      <c r="I21" s="9">
        <f>'Category Summary'!A11</f>
        <v>9</v>
      </c>
      <c r="J21" s="11" t="str">
        <f>'Category Summary'!B11</f>
        <v>Auto</v>
      </c>
      <c r="K21" s="9">
        <f>'Category Summary'!D11</f>
        <v>3810</v>
      </c>
      <c r="L21" s="9">
        <f>'Category Summary'!E11</f>
        <v>4140</v>
      </c>
      <c r="M21" s="10">
        <f>'Category Summary'!F11</f>
        <v>669454.75</v>
      </c>
      <c r="N21" s="12">
        <f>'Category Summary'!H11</f>
        <v>4.341534194040949E-2</v>
      </c>
    </row>
    <row r="22" spans="1:14" ht="18" customHeight="1" x14ac:dyDescent="0.25">
      <c r="A22" s="13">
        <f>'Monthly Summary'!A12</f>
        <v>2016</v>
      </c>
      <c r="B22" s="13" t="str">
        <f>'Monthly Summary'!C12</f>
        <v>Oct</v>
      </c>
      <c r="C22" s="13">
        <f>'Monthly Summary'!D12</f>
        <v>265</v>
      </c>
      <c r="D22" s="13">
        <f>'Monthly Summary'!E12</f>
        <v>313</v>
      </c>
      <c r="E22" s="14">
        <f>'Monthly Summary'!F12</f>
        <v>40325.11</v>
      </c>
      <c r="F22" s="14">
        <f>'Monthly Summary'!G12</f>
        <v>6165.55</v>
      </c>
      <c r="G22" s="14">
        <f>'Monthly Summary'!H12</f>
        <v>46490.66</v>
      </c>
      <c r="I22" s="13">
        <f>'Category Summary'!A12</f>
        <v>10</v>
      </c>
      <c r="J22" s="15" t="str">
        <f>'Category Summary'!B12</f>
        <v>Garden Tools</v>
      </c>
      <c r="K22" s="13">
        <f>'Category Summary'!D12</f>
        <v>3448</v>
      </c>
      <c r="L22" s="13">
        <f>'Category Summary'!E12</f>
        <v>4268</v>
      </c>
      <c r="M22" s="14">
        <f>'Category Summary'!F12</f>
        <v>567145.68000000005</v>
      </c>
      <c r="N22" s="16">
        <f>'Category Summary'!H12</f>
        <v>3.6780415147141851E-2</v>
      </c>
    </row>
    <row r="23" spans="1:14" ht="18" customHeight="1" x14ac:dyDescent="0.25">
      <c r="A23" s="9">
        <f>'Monthly Summary'!A13</f>
        <v>2016</v>
      </c>
      <c r="B23" s="9" t="str">
        <f>'Monthly Summary'!C13</f>
        <v>Nov</v>
      </c>
      <c r="C23" s="9">
        <f>'Monthly Summary'!D13</f>
        <v>0</v>
      </c>
      <c r="D23" s="9">
        <f>'Monthly Summary'!E13</f>
        <v>0</v>
      </c>
      <c r="E23" s="10">
        <f>'Monthly Summary'!F13</f>
        <v>0</v>
      </c>
      <c r="F23" s="10">
        <f>'Monthly Summary'!G13</f>
        <v>0</v>
      </c>
      <c r="G23" s="10">
        <f>'Monthly Summary'!H13</f>
        <v>0</v>
      </c>
    </row>
    <row r="24" spans="1:14" ht="18" customHeight="1" x14ac:dyDescent="0.25">
      <c r="A24" s="13">
        <f>'Monthly Summary'!A14</f>
        <v>2016</v>
      </c>
      <c r="B24" s="13" t="str">
        <f>'Monthly Summary'!C14</f>
        <v>Dec</v>
      </c>
      <c r="C24" s="13">
        <f>'Monthly Summary'!D14</f>
        <v>1</v>
      </c>
      <c r="D24" s="13">
        <f>'Monthly Summary'!E14</f>
        <v>1</v>
      </c>
      <c r="E24" s="14">
        <f>'Monthly Summary'!F14</f>
        <v>10.9</v>
      </c>
      <c r="F24" s="14">
        <f>'Monthly Summary'!G14</f>
        <v>8.7200000000000006</v>
      </c>
      <c r="G24" s="14">
        <f>'Monthly Summary'!H14</f>
        <v>19.62</v>
      </c>
    </row>
    <row r="25" spans="1:14" ht="18" customHeight="1" x14ac:dyDescent="0.25">
      <c r="A25" s="9">
        <f>'Monthly Summary'!A15</f>
        <v>2017</v>
      </c>
      <c r="B25" s="9" t="str">
        <f>'Monthly Summary'!C15</f>
        <v>Jan</v>
      </c>
      <c r="C25" s="9">
        <f>'Monthly Summary'!D15</f>
        <v>750</v>
      </c>
      <c r="D25" s="9">
        <f>'Monthly Summary'!E15</f>
        <v>913</v>
      </c>
      <c r="E25" s="10">
        <f>'Monthly Summary'!F15</f>
        <v>111798.36</v>
      </c>
      <c r="F25" s="10">
        <f>'Monthly Summary'!G15</f>
        <v>15684.01</v>
      </c>
      <c r="G25" s="10">
        <f>'Monthly Summary'!H15</f>
        <v>127482.37</v>
      </c>
    </row>
    <row r="26" spans="1:14" ht="18" customHeight="1" x14ac:dyDescent="0.25">
      <c r="A26" s="13">
        <f>'Monthly Summary'!A16</f>
        <v>2017</v>
      </c>
      <c r="B26" s="13" t="str">
        <f>'Monthly Summary'!C16</f>
        <v>Feb</v>
      </c>
      <c r="C26" s="13">
        <f>'Monthly Summary'!D16</f>
        <v>1653</v>
      </c>
      <c r="D26" s="13">
        <f>'Monthly Summary'!E16</f>
        <v>1858</v>
      </c>
      <c r="E26" s="14">
        <f>'Monthly Summary'!F16</f>
        <v>234223.4</v>
      </c>
      <c r="F26" s="14">
        <f>'Monthly Summary'!G16</f>
        <v>37015.919999999998</v>
      </c>
      <c r="G26" s="14">
        <f>'Monthly Summary'!H16</f>
        <v>271239.32</v>
      </c>
    </row>
    <row r="27" spans="1:14" ht="18" customHeight="1" x14ac:dyDescent="0.25">
      <c r="A27" s="9">
        <f>'Monthly Summary'!A17</f>
        <v>2017</v>
      </c>
      <c r="B27" s="9" t="str">
        <f>'Monthly Summary'!C17</f>
        <v>Mar</v>
      </c>
      <c r="C27" s="9">
        <f>'Monthly Summary'!D17</f>
        <v>2546</v>
      </c>
      <c r="D27" s="9">
        <f>'Monthly Summary'!E17</f>
        <v>2897</v>
      </c>
      <c r="E27" s="10">
        <f>'Monthly Summary'!F17</f>
        <v>359198.85</v>
      </c>
      <c r="F27" s="10">
        <f>'Monthly Summary'!G17</f>
        <v>55132.1</v>
      </c>
      <c r="G27" s="10">
        <f>'Monthly Summary'!H17</f>
        <v>414330.95</v>
      </c>
    </row>
    <row r="28" spans="1:14" ht="18" customHeight="1" x14ac:dyDescent="0.25">
      <c r="A28" s="13">
        <f>'Monthly Summary'!A18</f>
        <v>2017</v>
      </c>
      <c r="B28" s="13" t="str">
        <f>'Monthly Summary'!C18</f>
        <v>Apr</v>
      </c>
      <c r="C28" s="13">
        <f>'Monthly Summary'!D18</f>
        <v>2303</v>
      </c>
      <c r="D28" s="13">
        <f>'Monthly Summary'!E18</f>
        <v>2569</v>
      </c>
      <c r="E28" s="14">
        <f>'Monthly Summary'!F18</f>
        <v>340669.68</v>
      </c>
      <c r="F28" s="14">
        <f>'Monthly Summary'!G18</f>
        <v>50142.720000000001</v>
      </c>
      <c r="G28" s="14">
        <f>'Monthly Summary'!H18</f>
        <v>390812.4</v>
      </c>
    </row>
    <row r="29" spans="1:14" ht="18" customHeight="1" x14ac:dyDescent="0.25">
      <c r="A29" s="9">
        <f>'Monthly Summary'!A19</f>
        <v>2017</v>
      </c>
      <c r="B29" s="9" t="str">
        <f>'Monthly Summary'!C19</f>
        <v>May</v>
      </c>
      <c r="C29" s="9">
        <f>'Monthly Summary'!D19</f>
        <v>3546</v>
      </c>
      <c r="D29" s="9">
        <f>'Monthly Summary'!E19</f>
        <v>4004</v>
      </c>
      <c r="E29" s="10">
        <f>'Monthly Summary'!F19</f>
        <v>489338.25</v>
      </c>
      <c r="F29" s="10">
        <f>'Monthly Summary'!G19</f>
        <v>77513.149999999994</v>
      </c>
      <c r="G29" s="10">
        <f>'Monthly Summary'!H19</f>
        <v>566851.4</v>
      </c>
    </row>
    <row r="30" spans="1:14" ht="18" customHeight="1" x14ac:dyDescent="0.25">
      <c r="A30" s="13">
        <f>'Monthly Summary'!A20</f>
        <v>2017</v>
      </c>
      <c r="B30" s="13" t="str">
        <f>'Monthly Summary'!C20</f>
        <v>Jun</v>
      </c>
      <c r="C30" s="13">
        <f>'Monthly Summary'!D20</f>
        <v>3135</v>
      </c>
      <c r="D30" s="13">
        <f>'Monthly Summary'!E20</f>
        <v>3489</v>
      </c>
      <c r="E30" s="14">
        <f>'Monthly Summary'!F20</f>
        <v>421923.37</v>
      </c>
      <c r="F30" s="14">
        <f>'Monthly Summary'!G20</f>
        <v>68127</v>
      </c>
      <c r="G30" s="14">
        <f>'Monthly Summary'!H20</f>
        <v>490050.37</v>
      </c>
    </row>
    <row r="31" spans="1:14" ht="18" customHeight="1" x14ac:dyDescent="0.25">
      <c r="A31" s="9">
        <f>'Monthly Summary'!A21</f>
        <v>2017</v>
      </c>
      <c r="B31" s="9" t="str">
        <f>'Monthly Summary'!C21</f>
        <v>Jul</v>
      </c>
      <c r="C31" s="9">
        <f>'Monthly Summary'!D21</f>
        <v>3872</v>
      </c>
      <c r="D31" s="9">
        <f>'Monthly Summary'!E21</f>
        <v>4416</v>
      </c>
      <c r="E31" s="10">
        <f>'Monthly Summary'!F21</f>
        <v>481604.52</v>
      </c>
      <c r="F31" s="10">
        <f>'Monthly Summary'!G21</f>
        <v>84694.56</v>
      </c>
      <c r="G31" s="10">
        <f>'Monthly Summary'!H21</f>
        <v>566299.07999999996</v>
      </c>
    </row>
    <row r="32" spans="1:14" ht="18" customHeight="1" x14ac:dyDescent="0.25">
      <c r="A32" s="13">
        <f>'Monthly Summary'!A22</f>
        <v>2017</v>
      </c>
      <c r="B32" s="13" t="str">
        <f>'Monthly Summary'!C22</f>
        <v>Aug</v>
      </c>
      <c r="C32" s="13">
        <f>'Monthly Summary'!D22</f>
        <v>4193</v>
      </c>
      <c r="D32" s="13">
        <f>'Monthly Summary'!E22</f>
        <v>4797</v>
      </c>
      <c r="E32" s="14">
        <f>'Monthly Summary'!F22</f>
        <v>554699.69999999995</v>
      </c>
      <c r="F32" s="14">
        <f>'Monthly Summary'!G22</f>
        <v>91132.66</v>
      </c>
      <c r="G32" s="14">
        <f>'Monthly Summary'!H22</f>
        <v>645832.36</v>
      </c>
    </row>
    <row r="33" spans="1:7" ht="18" customHeight="1" x14ac:dyDescent="0.25">
      <c r="A33" s="9">
        <f>'Monthly Summary'!A23</f>
        <v>2017</v>
      </c>
      <c r="B33" s="9" t="str">
        <f>'Monthly Summary'!C23</f>
        <v>Sep</v>
      </c>
      <c r="C33" s="9">
        <f>'Monthly Summary'!D23</f>
        <v>4150</v>
      </c>
      <c r="D33" s="9">
        <f>'Monthly Summary'!E23</f>
        <v>4737</v>
      </c>
      <c r="E33" s="10">
        <f>'Monthly Summary'!F23</f>
        <v>607399.67000000004</v>
      </c>
      <c r="F33" s="10">
        <f>'Monthly Summary'!G23</f>
        <v>93677.82</v>
      </c>
      <c r="G33" s="10">
        <f>'Monthly Summary'!H23</f>
        <v>701077.49</v>
      </c>
    </row>
    <row r="34" spans="1:7" ht="18" customHeight="1" x14ac:dyDescent="0.25">
      <c r="A34" s="13">
        <f>'Monthly Summary'!A24</f>
        <v>2017</v>
      </c>
      <c r="B34" s="13" t="str">
        <f>'Monthly Summary'!C24</f>
        <v>Oct</v>
      </c>
      <c r="C34" s="13">
        <f>'Monthly Summary'!D24</f>
        <v>4478</v>
      </c>
      <c r="D34" s="13">
        <f>'Monthly Summary'!E24</f>
        <v>5214</v>
      </c>
      <c r="E34" s="14">
        <f>'Monthly Summary'!F24</f>
        <v>648247.65</v>
      </c>
      <c r="F34" s="14">
        <f>'Monthly Summary'!G24</f>
        <v>102869.36</v>
      </c>
      <c r="G34" s="14">
        <f>'Monthly Summary'!H24</f>
        <v>751117.01</v>
      </c>
    </row>
    <row r="35" spans="1:7" ht="18" customHeight="1" x14ac:dyDescent="0.25">
      <c r="A35" s="9">
        <f>'Monthly Summary'!A25</f>
        <v>2017</v>
      </c>
      <c r="B35" s="9" t="str">
        <f>'Monthly Summary'!C25</f>
        <v>Nov</v>
      </c>
      <c r="C35" s="9">
        <f>'Monthly Summary'!D25</f>
        <v>7289</v>
      </c>
      <c r="D35" s="9">
        <f>'Monthly Summary'!E25</f>
        <v>8475</v>
      </c>
      <c r="E35" s="10">
        <f>'Monthly Summary'!F25</f>
        <v>987765.37</v>
      </c>
      <c r="F35" s="10">
        <f>'Monthly Summary'!G25</f>
        <v>165598.82999999999</v>
      </c>
      <c r="G35" s="10">
        <f>'Monthly Summary'!H25</f>
        <v>1153364.2</v>
      </c>
    </row>
    <row r="36" spans="1:7" ht="18" customHeight="1" x14ac:dyDescent="0.25">
      <c r="A36" s="13">
        <f>'Monthly Summary'!A26</f>
        <v>2017</v>
      </c>
      <c r="B36" s="13" t="str">
        <f>'Monthly Summary'!C26</f>
        <v>Dec</v>
      </c>
      <c r="C36" s="13">
        <f>'Monthly Summary'!D26</f>
        <v>5513</v>
      </c>
      <c r="D36" s="13">
        <f>'Monthly Summary'!E26</f>
        <v>6187</v>
      </c>
      <c r="E36" s="14">
        <f>'Monthly Summary'!F26</f>
        <v>726033.19</v>
      </c>
      <c r="F36" s="14">
        <f>'Monthly Summary'!G26</f>
        <v>117045.1</v>
      </c>
      <c r="G36" s="14">
        <f>'Monthly Summary'!H26</f>
        <v>843078.29</v>
      </c>
    </row>
    <row r="37" spans="1:7" ht="18" customHeight="1" x14ac:dyDescent="0.25">
      <c r="A37" s="9">
        <f>'Monthly Summary'!A27</f>
        <v>2018</v>
      </c>
      <c r="B37" s="9" t="str">
        <f>'Monthly Summary'!C27</f>
        <v>Jan</v>
      </c>
      <c r="C37" s="9">
        <f>'Monthly Summary'!D27</f>
        <v>7069</v>
      </c>
      <c r="D37" s="9">
        <f>'Monthly Summary'!E27</f>
        <v>8037</v>
      </c>
      <c r="E37" s="10">
        <f>'Monthly Summary'!F27</f>
        <v>924645</v>
      </c>
      <c r="F37" s="10">
        <f>'Monthly Summary'!G27</f>
        <v>153242.46</v>
      </c>
      <c r="G37" s="10">
        <f>'Monthly Summary'!H27</f>
        <v>1077887.46</v>
      </c>
    </row>
    <row r="38" spans="1:7" ht="18" customHeight="1" x14ac:dyDescent="0.25">
      <c r="A38" s="13">
        <f>'Monthly Summary'!A28</f>
        <v>2018</v>
      </c>
      <c r="B38" s="13" t="str">
        <f>'Monthly Summary'!C28</f>
        <v>Feb</v>
      </c>
      <c r="C38" s="13">
        <f>'Monthly Summary'!D28</f>
        <v>6555</v>
      </c>
      <c r="D38" s="13">
        <f>'Monthly Summary'!E28</f>
        <v>7518</v>
      </c>
      <c r="E38" s="14">
        <f>'Monthly Summary'!F28</f>
        <v>826437.13</v>
      </c>
      <c r="F38" s="14">
        <f>'Monthly Summary'!G28</f>
        <v>139731.28</v>
      </c>
      <c r="G38" s="14">
        <f>'Monthly Summary'!H28</f>
        <v>966168.41</v>
      </c>
    </row>
    <row r="39" spans="1:7" ht="18" customHeight="1" x14ac:dyDescent="0.25">
      <c r="A39" s="9">
        <f>'Monthly Summary'!A29</f>
        <v>2018</v>
      </c>
      <c r="B39" s="9" t="str">
        <f>'Monthly Summary'!C29</f>
        <v>Mar</v>
      </c>
      <c r="C39" s="9">
        <f>'Monthly Summary'!D29</f>
        <v>7003</v>
      </c>
      <c r="D39" s="9">
        <f>'Monthly Summary'!E29</f>
        <v>8017</v>
      </c>
      <c r="E39" s="10">
        <f>'Monthly Summary'!F29</f>
        <v>953356.25</v>
      </c>
      <c r="F39" s="10">
        <f>'Monthly Summary'!G29</f>
        <v>167241.99</v>
      </c>
      <c r="G39" s="10">
        <f>'Monthly Summary'!H29</f>
        <v>1120598.24</v>
      </c>
    </row>
    <row r="40" spans="1:7" ht="18" customHeight="1" x14ac:dyDescent="0.25">
      <c r="A40" s="13">
        <f>'Monthly Summary'!A30</f>
        <v>2018</v>
      </c>
      <c r="B40" s="13" t="str">
        <f>'Monthly Summary'!C30</f>
        <v>Apr</v>
      </c>
      <c r="C40" s="13">
        <f>'Monthly Summary'!D30</f>
        <v>6798</v>
      </c>
      <c r="D40" s="13">
        <f>'Monthly Summary'!E30</f>
        <v>7827</v>
      </c>
      <c r="E40" s="14">
        <f>'Monthly Summary'!F30</f>
        <v>973534.09</v>
      </c>
      <c r="F40" s="14">
        <f>'Monthly Summary'!G30</f>
        <v>159344.84</v>
      </c>
      <c r="G40" s="14">
        <f>'Monthly Summary'!H30</f>
        <v>1132878.93</v>
      </c>
    </row>
    <row r="41" spans="1:7" ht="18" customHeight="1" x14ac:dyDescent="0.25">
      <c r="A41" s="9">
        <f>'Monthly Summary'!A31</f>
        <v>2018</v>
      </c>
      <c r="B41" s="9" t="str">
        <f>'Monthly Summary'!C31</f>
        <v>May</v>
      </c>
      <c r="C41" s="9">
        <f>'Monthly Summary'!D31</f>
        <v>6749</v>
      </c>
      <c r="D41" s="9">
        <f>'Monthly Summary'!E31</f>
        <v>7810</v>
      </c>
      <c r="E41" s="10">
        <f>'Monthly Summary'!F31</f>
        <v>977544.69</v>
      </c>
      <c r="F41" s="10">
        <f>'Monthly Summary'!G31</f>
        <v>151229.82999999999</v>
      </c>
      <c r="G41" s="10">
        <f>'Monthly Summary'!H31</f>
        <v>1128774.52</v>
      </c>
    </row>
    <row r="42" spans="1:7" ht="18" customHeight="1" x14ac:dyDescent="0.25">
      <c r="A42" s="13">
        <f>'Monthly Summary'!A32</f>
        <v>2018</v>
      </c>
      <c r="B42" s="13" t="str">
        <f>'Monthly Summary'!C32</f>
        <v>Jun</v>
      </c>
      <c r="C42" s="13">
        <f>'Monthly Summary'!D32</f>
        <v>6099</v>
      </c>
      <c r="D42" s="13">
        <f>'Monthly Summary'!E32</f>
        <v>7010</v>
      </c>
      <c r="E42" s="14">
        <f>'Monthly Summary'!F32</f>
        <v>856077.86</v>
      </c>
      <c r="F42" s="14">
        <f>'Monthly Summary'!G32</f>
        <v>155900.43</v>
      </c>
      <c r="G42" s="14">
        <f>'Monthly Summary'!H32</f>
        <v>1011978.29</v>
      </c>
    </row>
    <row r="43" spans="1:7" ht="18" customHeight="1" x14ac:dyDescent="0.25">
      <c r="A43" s="9">
        <f>'Monthly Summary'!A33</f>
        <v>2018</v>
      </c>
      <c r="B43" s="9" t="str">
        <f>'Monthly Summary'!C33</f>
        <v>Jul</v>
      </c>
      <c r="C43" s="9">
        <f>'Monthly Summary'!D33</f>
        <v>6159</v>
      </c>
      <c r="D43" s="9">
        <f>'Monthly Summary'!E33</f>
        <v>6963</v>
      </c>
      <c r="E43" s="10">
        <f>'Monthly Summary'!F33</f>
        <v>867953.46</v>
      </c>
      <c r="F43" s="10">
        <f>'Monthly Summary'!G33</f>
        <v>159853.82</v>
      </c>
      <c r="G43" s="10">
        <f>'Monthly Summary'!H33</f>
        <v>1027807.28</v>
      </c>
    </row>
    <row r="44" spans="1:7" ht="18" customHeight="1" x14ac:dyDescent="0.25">
      <c r="A44" s="13">
        <f>'Monthly Summary'!A34</f>
        <v>2018</v>
      </c>
      <c r="B44" s="13" t="str">
        <f>'Monthly Summary'!C34</f>
        <v>Aug</v>
      </c>
      <c r="C44" s="13">
        <f>'Monthly Summary'!D34</f>
        <v>6351</v>
      </c>
      <c r="D44" s="13">
        <f>'Monthly Summary'!E34</f>
        <v>7142</v>
      </c>
      <c r="E44" s="14">
        <f>'Monthly Summary'!F34</f>
        <v>838576.64000000001</v>
      </c>
      <c r="F44" s="14">
        <f>'Monthly Summary'!G34</f>
        <v>146915</v>
      </c>
      <c r="G44" s="14">
        <f>'Monthly Summary'!H34</f>
        <v>985491.64</v>
      </c>
    </row>
    <row r="45" spans="1:7" ht="18" customHeight="1" x14ac:dyDescent="0.25">
      <c r="A45" s="9">
        <f>'Monthly Summary'!A35</f>
        <v>2018</v>
      </c>
      <c r="B45" s="9" t="str">
        <f>'Monthly Summary'!C35</f>
        <v>Sep</v>
      </c>
      <c r="C45" s="9">
        <f>'Monthly Summary'!D35</f>
        <v>0</v>
      </c>
      <c r="D45" s="9">
        <f>'Monthly Summary'!E35</f>
        <v>0</v>
      </c>
      <c r="E45" s="10">
        <f>'Monthly Summary'!F35</f>
        <v>0</v>
      </c>
      <c r="F45" s="10">
        <f>'Monthly Summary'!G35</f>
        <v>0</v>
      </c>
      <c r="G45" s="10">
        <f>'Monthly Summary'!H35</f>
        <v>0</v>
      </c>
    </row>
    <row r="46" spans="1:7" ht="18" customHeight="1" x14ac:dyDescent="0.25">
      <c r="A46" s="13">
        <f>'Monthly Summary'!A36</f>
        <v>2018</v>
      </c>
      <c r="B46" s="13" t="str">
        <f>'Monthly Summary'!C36</f>
        <v>Oct</v>
      </c>
      <c r="C46" s="13">
        <f>'Monthly Summary'!D36</f>
        <v>0</v>
      </c>
      <c r="D46" s="13">
        <f>'Monthly Summary'!E36</f>
        <v>0</v>
      </c>
      <c r="E46" s="14">
        <f>'Monthly Summary'!F36</f>
        <v>0</v>
      </c>
      <c r="F46" s="14">
        <f>'Monthly Summary'!G36</f>
        <v>0</v>
      </c>
      <c r="G46" s="14">
        <f>'Monthly Summary'!H36</f>
        <v>0</v>
      </c>
    </row>
    <row r="47" spans="1:7" ht="18" customHeight="1" x14ac:dyDescent="0.25">
      <c r="A47" s="9">
        <f>'Monthly Summary'!A37</f>
        <v>2018</v>
      </c>
      <c r="B47" s="9" t="str">
        <f>'Monthly Summary'!C37</f>
        <v>Nov</v>
      </c>
      <c r="C47" s="9">
        <f>'Monthly Summary'!D37</f>
        <v>0</v>
      </c>
      <c r="D47" s="9">
        <f>'Monthly Summary'!E37</f>
        <v>0</v>
      </c>
      <c r="E47" s="10">
        <f>'Monthly Summary'!F37</f>
        <v>0</v>
      </c>
      <c r="F47" s="10">
        <f>'Monthly Summary'!G37</f>
        <v>0</v>
      </c>
      <c r="G47" s="10">
        <f>'Monthly Summary'!H37</f>
        <v>0</v>
      </c>
    </row>
    <row r="48" spans="1:7" ht="18" customHeight="1" x14ac:dyDescent="0.25">
      <c r="A48" s="13">
        <f>'Monthly Summary'!A38</f>
        <v>2018</v>
      </c>
      <c r="B48" s="13" t="str">
        <f>'Monthly Summary'!C38</f>
        <v>Dec</v>
      </c>
      <c r="C48" s="13">
        <f>'Monthly Summary'!D38</f>
        <v>0</v>
      </c>
      <c r="D48" s="13">
        <f>'Monthly Summary'!E38</f>
        <v>0</v>
      </c>
      <c r="E48" s="14">
        <f>'Monthly Summary'!F38</f>
        <v>0</v>
      </c>
      <c r="F48" s="14">
        <f>'Monthly Summary'!G38</f>
        <v>0</v>
      </c>
      <c r="G48" s="14">
        <f>'Monthly Summary'!H38</f>
        <v>0</v>
      </c>
    </row>
    <row r="49" spans="1:7" ht="18" customHeight="1" x14ac:dyDescent="0.25">
      <c r="A49" s="8" t="s">
        <v>12</v>
      </c>
      <c r="B49" s="8" t="s">
        <v>202</v>
      </c>
      <c r="C49" s="8">
        <f>'Monthly Summary'!D39</f>
        <v>96478</v>
      </c>
      <c r="D49" s="8">
        <f>'Monthly Summary'!E39</f>
        <v>110197</v>
      </c>
      <c r="E49" s="17">
        <f>'Monthly Summary'!F39</f>
        <v>13221498.109999999</v>
      </c>
      <c r="F49" s="17">
        <f>'Monthly Summary'!G39</f>
        <v>2198275.64</v>
      </c>
      <c r="G49" s="17">
        <f>'Monthly Summary'!H39</f>
        <v>15419773.749999998</v>
      </c>
    </row>
    <row r="50" spans="1:7" ht="18" customHeight="1" x14ac:dyDescent="0.25"/>
    <row r="51" spans="1:7" ht="18" customHeight="1" x14ac:dyDescent="0.25">
      <c r="A51" s="29" t="s">
        <v>201</v>
      </c>
      <c r="B51" s="29"/>
      <c r="C51" s="29"/>
      <c r="D51" s="29"/>
      <c r="E51" s="29"/>
    </row>
    <row r="52" spans="1:7" ht="18" customHeight="1" x14ac:dyDescent="0.25">
      <c r="A52" s="8" t="s">
        <v>1</v>
      </c>
      <c r="B52" s="8" t="s">
        <v>3</v>
      </c>
      <c r="C52" s="8" t="s">
        <v>10</v>
      </c>
      <c r="D52" s="8" t="s">
        <v>14</v>
      </c>
      <c r="E52" s="8" t="s">
        <v>15</v>
      </c>
    </row>
    <row r="53" spans="1:7" ht="18" customHeight="1" x14ac:dyDescent="0.25">
      <c r="A53" s="18">
        <f>'Monthly Summary'!A43</f>
        <v>2016</v>
      </c>
      <c r="B53" s="18">
        <f>'Monthly Summary'!B43</f>
        <v>267</v>
      </c>
      <c r="C53" s="19">
        <f>'Monthly Summary'!C43</f>
        <v>46653.740000000005</v>
      </c>
      <c r="D53" s="18" t="s">
        <v>16</v>
      </c>
      <c r="E53" s="18" t="s">
        <v>16</v>
      </c>
    </row>
    <row r="54" spans="1:7" ht="18" customHeight="1" x14ac:dyDescent="0.25">
      <c r="A54" s="20">
        <f>'Monthly Summary'!A44</f>
        <v>2017</v>
      </c>
      <c r="B54" s="20">
        <f>'Monthly Summary'!B44</f>
        <v>43428</v>
      </c>
      <c r="C54" s="21">
        <f>'Monthly Summary'!C44</f>
        <v>6921535.2400000002</v>
      </c>
      <c r="D54" s="22">
        <f>'Monthly Summary'!D44</f>
        <v>161.65168539325842</v>
      </c>
      <c r="E54" s="22">
        <f>'Monthly Summary'!E44</f>
        <v>147.35970792480944</v>
      </c>
    </row>
    <row r="55" spans="1:7" ht="18" customHeight="1" x14ac:dyDescent="0.25">
      <c r="A55" s="18">
        <f>'Monthly Summary'!A45</f>
        <v>2018</v>
      </c>
      <c r="B55" s="18">
        <f>'Monthly Summary'!B45</f>
        <v>52783</v>
      </c>
      <c r="C55" s="19">
        <f>'Monthly Summary'!C45</f>
        <v>8451584.7700000014</v>
      </c>
      <c r="D55" s="23">
        <f>'Monthly Summary'!D45</f>
        <v>0.21541401860550796</v>
      </c>
      <c r="E55" s="23">
        <f>'Monthly Summary'!E45</f>
        <v>0.22105638083842236</v>
      </c>
    </row>
    <row r="56" spans="1:7" ht="18" customHeight="1" x14ac:dyDescent="0.25"/>
    <row r="57" spans="1:7" ht="18" customHeight="1" x14ac:dyDescent="0.25"/>
    <row r="58" spans="1:7" ht="18" customHeight="1" x14ac:dyDescent="0.25"/>
    <row r="59" spans="1:7" ht="18" customHeight="1" x14ac:dyDescent="0.25"/>
    <row r="60" spans="1:7" ht="18" customHeight="1" x14ac:dyDescent="0.25"/>
    <row r="61" spans="1:7" ht="18" customHeight="1" x14ac:dyDescent="0.25"/>
    <row r="62" spans="1:7" ht="18" customHeight="1" x14ac:dyDescent="0.25"/>
    <row r="63" spans="1:7" ht="18" customHeight="1" x14ac:dyDescent="0.25"/>
    <row r="64" spans="1:7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13">
    <mergeCell ref="A51:E51"/>
    <mergeCell ref="A7:D9"/>
    <mergeCell ref="E7:H9"/>
    <mergeCell ref="I7:K9"/>
    <mergeCell ref="L7:N9"/>
    <mergeCell ref="A11:G11"/>
    <mergeCell ref="I11:N11"/>
    <mergeCell ref="A1:N2"/>
    <mergeCell ref="A3:N3"/>
    <mergeCell ref="A5:D6"/>
    <mergeCell ref="E5:H6"/>
    <mergeCell ref="I5:K6"/>
    <mergeCell ref="L5:N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topLeftCell="A19" zoomScaleNormal="100" workbookViewId="0">
      <selection activeCell="J34" sqref="J34"/>
    </sheetView>
  </sheetViews>
  <sheetFormatPr defaultColWidth="8.7109375" defaultRowHeight="15" x14ac:dyDescent="0.25"/>
  <cols>
    <col min="1" max="1" width="8" customWidth="1"/>
    <col min="2" max="2" width="10" customWidth="1"/>
    <col min="3" max="5" width="12" customWidth="1"/>
    <col min="6" max="7" width="16" customWidth="1"/>
    <col min="8" max="8" width="18" customWidth="1"/>
  </cols>
  <sheetData>
    <row r="1" spans="1:8" ht="24" customHeight="1" x14ac:dyDescent="0.25">
      <c r="A1" s="2" t="s">
        <v>200</v>
      </c>
      <c r="B1" s="2"/>
      <c r="C1" s="2"/>
      <c r="D1" s="2"/>
      <c r="E1" s="2"/>
      <c r="F1" s="2"/>
      <c r="G1" s="2"/>
      <c r="H1" s="2"/>
    </row>
    <row r="2" spans="1:8" x14ac:dyDescent="0.25">
      <c r="A2" s="8" t="s">
        <v>1</v>
      </c>
      <c r="B2" s="8" t="s">
        <v>17</v>
      </c>
      <c r="C2" s="8" t="s">
        <v>18</v>
      </c>
      <c r="D2" s="8" t="s">
        <v>3</v>
      </c>
      <c r="E2" s="8" t="s">
        <v>4</v>
      </c>
      <c r="F2" s="8" t="s">
        <v>19</v>
      </c>
      <c r="G2" s="8" t="s">
        <v>20</v>
      </c>
      <c r="H2" s="8" t="s">
        <v>21</v>
      </c>
    </row>
    <row r="3" spans="1:8" x14ac:dyDescent="0.25">
      <c r="A3" s="18">
        <v>2016</v>
      </c>
      <c r="B3" s="18">
        <v>1</v>
      </c>
      <c r="C3" s="18" t="s">
        <v>22</v>
      </c>
      <c r="D3" s="18">
        <v>0</v>
      </c>
      <c r="E3" s="18">
        <v>0</v>
      </c>
      <c r="F3" s="19">
        <v>0</v>
      </c>
      <c r="G3" s="19">
        <v>0</v>
      </c>
      <c r="H3" s="19">
        <v>0</v>
      </c>
    </row>
    <row r="4" spans="1:8" x14ac:dyDescent="0.25">
      <c r="A4" s="20">
        <v>2016</v>
      </c>
      <c r="B4" s="20">
        <v>2</v>
      </c>
      <c r="C4" s="20" t="s">
        <v>23</v>
      </c>
      <c r="D4" s="20">
        <v>0</v>
      </c>
      <c r="E4" s="20">
        <v>0</v>
      </c>
      <c r="F4" s="21">
        <v>0</v>
      </c>
      <c r="G4" s="21">
        <v>0</v>
      </c>
      <c r="H4" s="21">
        <v>0</v>
      </c>
    </row>
    <row r="5" spans="1:8" x14ac:dyDescent="0.25">
      <c r="A5" s="18">
        <v>2016</v>
      </c>
      <c r="B5" s="18">
        <v>3</v>
      </c>
      <c r="C5" s="18" t="s">
        <v>24</v>
      </c>
      <c r="D5" s="18">
        <v>0</v>
      </c>
      <c r="E5" s="18">
        <v>0</v>
      </c>
      <c r="F5" s="19">
        <v>0</v>
      </c>
      <c r="G5" s="19">
        <v>0</v>
      </c>
      <c r="H5" s="19">
        <v>0</v>
      </c>
    </row>
    <row r="6" spans="1:8" x14ac:dyDescent="0.25">
      <c r="A6" s="20">
        <v>2016</v>
      </c>
      <c r="B6" s="20">
        <v>4</v>
      </c>
      <c r="C6" s="20" t="s">
        <v>25</v>
      </c>
      <c r="D6" s="20">
        <v>0</v>
      </c>
      <c r="E6" s="20">
        <v>0</v>
      </c>
      <c r="F6" s="21">
        <v>0</v>
      </c>
      <c r="G6" s="21">
        <v>0</v>
      </c>
      <c r="H6" s="21">
        <v>0</v>
      </c>
    </row>
    <row r="7" spans="1:8" x14ac:dyDescent="0.25">
      <c r="A7" s="18">
        <v>2016</v>
      </c>
      <c r="B7" s="18">
        <v>5</v>
      </c>
      <c r="C7" s="18" t="s">
        <v>26</v>
      </c>
      <c r="D7" s="18">
        <v>0</v>
      </c>
      <c r="E7" s="18">
        <v>0</v>
      </c>
      <c r="F7" s="19">
        <v>0</v>
      </c>
      <c r="G7" s="19">
        <v>0</v>
      </c>
      <c r="H7" s="19">
        <v>0</v>
      </c>
    </row>
    <row r="8" spans="1:8" x14ac:dyDescent="0.25">
      <c r="A8" s="20">
        <v>2016</v>
      </c>
      <c r="B8" s="20">
        <v>6</v>
      </c>
      <c r="C8" s="20" t="s">
        <v>27</v>
      </c>
      <c r="D8" s="20">
        <v>0</v>
      </c>
      <c r="E8" s="20">
        <v>0</v>
      </c>
      <c r="F8" s="21">
        <v>0</v>
      </c>
      <c r="G8" s="21">
        <v>0</v>
      </c>
      <c r="H8" s="21">
        <v>0</v>
      </c>
    </row>
    <row r="9" spans="1:8" x14ac:dyDescent="0.25">
      <c r="A9" s="18">
        <v>2016</v>
      </c>
      <c r="B9" s="18">
        <v>7</v>
      </c>
      <c r="C9" s="18" t="s">
        <v>28</v>
      </c>
      <c r="D9" s="18">
        <v>0</v>
      </c>
      <c r="E9" s="18">
        <v>0</v>
      </c>
      <c r="F9" s="19">
        <v>0</v>
      </c>
      <c r="G9" s="19">
        <v>0</v>
      </c>
      <c r="H9" s="19">
        <v>0</v>
      </c>
    </row>
    <row r="10" spans="1:8" x14ac:dyDescent="0.25">
      <c r="A10" s="20">
        <v>2016</v>
      </c>
      <c r="B10" s="20">
        <v>8</v>
      </c>
      <c r="C10" s="20" t="s">
        <v>29</v>
      </c>
      <c r="D10" s="20">
        <v>0</v>
      </c>
      <c r="E10" s="20">
        <v>0</v>
      </c>
      <c r="F10" s="21">
        <v>0</v>
      </c>
      <c r="G10" s="21">
        <v>0</v>
      </c>
      <c r="H10" s="21">
        <v>0</v>
      </c>
    </row>
    <row r="11" spans="1:8" x14ac:dyDescent="0.25">
      <c r="A11" s="18">
        <v>2016</v>
      </c>
      <c r="B11" s="18">
        <v>9</v>
      </c>
      <c r="C11" s="18" t="s">
        <v>30</v>
      </c>
      <c r="D11" s="18">
        <v>1</v>
      </c>
      <c r="E11" s="18">
        <v>3</v>
      </c>
      <c r="F11" s="19">
        <v>134.97</v>
      </c>
      <c r="G11" s="19">
        <v>8.49</v>
      </c>
      <c r="H11" s="19">
        <v>143.46</v>
      </c>
    </row>
    <row r="12" spans="1:8" x14ac:dyDescent="0.25">
      <c r="A12" s="20">
        <v>2016</v>
      </c>
      <c r="B12" s="20">
        <v>10</v>
      </c>
      <c r="C12" s="20" t="s">
        <v>31</v>
      </c>
      <c r="D12" s="20">
        <v>265</v>
      </c>
      <c r="E12" s="20">
        <v>313</v>
      </c>
      <c r="F12" s="21">
        <v>40325.11</v>
      </c>
      <c r="G12" s="21">
        <v>6165.55</v>
      </c>
      <c r="H12" s="21">
        <v>46490.66</v>
      </c>
    </row>
    <row r="13" spans="1:8" x14ac:dyDescent="0.25">
      <c r="A13" s="18">
        <v>2016</v>
      </c>
      <c r="B13" s="18">
        <v>11</v>
      </c>
      <c r="C13" s="18" t="s">
        <v>32</v>
      </c>
      <c r="D13" s="18">
        <v>0</v>
      </c>
      <c r="E13" s="18">
        <v>0</v>
      </c>
      <c r="F13" s="19">
        <v>0</v>
      </c>
      <c r="G13" s="19">
        <v>0</v>
      </c>
      <c r="H13" s="19">
        <v>0</v>
      </c>
    </row>
    <row r="14" spans="1:8" x14ac:dyDescent="0.25">
      <c r="A14" s="20">
        <v>2016</v>
      </c>
      <c r="B14" s="20">
        <v>12</v>
      </c>
      <c r="C14" s="20" t="s">
        <v>33</v>
      </c>
      <c r="D14" s="20">
        <v>1</v>
      </c>
      <c r="E14" s="20">
        <v>1</v>
      </c>
      <c r="F14" s="21">
        <v>10.9</v>
      </c>
      <c r="G14" s="21">
        <v>8.7200000000000006</v>
      </c>
      <c r="H14" s="21">
        <v>19.62</v>
      </c>
    </row>
    <row r="15" spans="1:8" x14ac:dyDescent="0.25">
      <c r="A15" s="18">
        <v>2017</v>
      </c>
      <c r="B15" s="18">
        <v>1</v>
      </c>
      <c r="C15" s="18" t="s">
        <v>22</v>
      </c>
      <c r="D15" s="18">
        <v>750</v>
      </c>
      <c r="E15" s="18">
        <v>913</v>
      </c>
      <c r="F15" s="19">
        <v>111798.36</v>
      </c>
      <c r="G15" s="19">
        <v>15684.01</v>
      </c>
      <c r="H15" s="19">
        <v>127482.37</v>
      </c>
    </row>
    <row r="16" spans="1:8" x14ac:dyDescent="0.25">
      <c r="A16" s="20">
        <v>2017</v>
      </c>
      <c r="B16" s="20">
        <v>2</v>
      </c>
      <c r="C16" s="20" t="s">
        <v>23</v>
      </c>
      <c r="D16" s="20">
        <v>1653</v>
      </c>
      <c r="E16" s="20">
        <v>1858</v>
      </c>
      <c r="F16" s="21">
        <v>234223.4</v>
      </c>
      <c r="G16" s="21">
        <v>37015.919999999998</v>
      </c>
      <c r="H16" s="21">
        <v>271239.32</v>
      </c>
    </row>
    <row r="17" spans="1:8" x14ac:dyDescent="0.25">
      <c r="A17" s="18">
        <v>2017</v>
      </c>
      <c r="B17" s="18">
        <v>3</v>
      </c>
      <c r="C17" s="18" t="s">
        <v>24</v>
      </c>
      <c r="D17" s="18">
        <v>2546</v>
      </c>
      <c r="E17" s="18">
        <v>2897</v>
      </c>
      <c r="F17" s="19">
        <v>359198.85</v>
      </c>
      <c r="G17" s="19">
        <v>55132.1</v>
      </c>
      <c r="H17" s="19">
        <v>414330.95</v>
      </c>
    </row>
    <row r="18" spans="1:8" x14ac:dyDescent="0.25">
      <c r="A18" s="20">
        <v>2017</v>
      </c>
      <c r="B18" s="20">
        <v>4</v>
      </c>
      <c r="C18" s="20" t="s">
        <v>25</v>
      </c>
      <c r="D18" s="20">
        <v>2303</v>
      </c>
      <c r="E18" s="20">
        <v>2569</v>
      </c>
      <c r="F18" s="21">
        <v>340669.68</v>
      </c>
      <c r="G18" s="21">
        <v>50142.720000000001</v>
      </c>
      <c r="H18" s="21">
        <v>390812.4</v>
      </c>
    </row>
    <row r="19" spans="1:8" x14ac:dyDescent="0.25">
      <c r="A19" s="18">
        <v>2017</v>
      </c>
      <c r="B19" s="18">
        <v>5</v>
      </c>
      <c r="C19" s="18" t="s">
        <v>26</v>
      </c>
      <c r="D19" s="18">
        <v>3546</v>
      </c>
      <c r="E19" s="18">
        <v>4004</v>
      </c>
      <c r="F19" s="19">
        <v>489338.25</v>
      </c>
      <c r="G19" s="19">
        <v>77513.149999999994</v>
      </c>
      <c r="H19" s="19">
        <v>566851.4</v>
      </c>
    </row>
    <row r="20" spans="1:8" x14ac:dyDescent="0.25">
      <c r="A20" s="20">
        <v>2017</v>
      </c>
      <c r="B20" s="20">
        <v>6</v>
      </c>
      <c r="C20" s="20" t="s">
        <v>27</v>
      </c>
      <c r="D20" s="20">
        <v>3135</v>
      </c>
      <c r="E20" s="20">
        <v>3489</v>
      </c>
      <c r="F20" s="21">
        <v>421923.37</v>
      </c>
      <c r="G20" s="21">
        <v>68127</v>
      </c>
      <c r="H20" s="21">
        <v>490050.37</v>
      </c>
    </row>
    <row r="21" spans="1:8" x14ac:dyDescent="0.25">
      <c r="A21" s="18">
        <v>2017</v>
      </c>
      <c r="B21" s="18">
        <v>7</v>
      </c>
      <c r="C21" s="18" t="s">
        <v>28</v>
      </c>
      <c r="D21" s="18">
        <v>3872</v>
      </c>
      <c r="E21" s="18">
        <v>4416</v>
      </c>
      <c r="F21" s="19">
        <v>481604.52</v>
      </c>
      <c r="G21" s="19">
        <v>84694.56</v>
      </c>
      <c r="H21" s="19">
        <v>566299.07999999996</v>
      </c>
    </row>
    <row r="22" spans="1:8" x14ac:dyDescent="0.25">
      <c r="A22" s="20">
        <v>2017</v>
      </c>
      <c r="B22" s="20">
        <v>8</v>
      </c>
      <c r="C22" s="20" t="s">
        <v>29</v>
      </c>
      <c r="D22" s="20">
        <v>4193</v>
      </c>
      <c r="E22" s="20">
        <v>4797</v>
      </c>
      <c r="F22" s="21">
        <v>554699.69999999995</v>
      </c>
      <c r="G22" s="21">
        <v>91132.66</v>
      </c>
      <c r="H22" s="21">
        <v>645832.36</v>
      </c>
    </row>
    <row r="23" spans="1:8" x14ac:dyDescent="0.25">
      <c r="A23" s="18">
        <v>2017</v>
      </c>
      <c r="B23" s="18">
        <v>9</v>
      </c>
      <c r="C23" s="18" t="s">
        <v>30</v>
      </c>
      <c r="D23" s="18">
        <v>4150</v>
      </c>
      <c r="E23" s="18">
        <v>4737</v>
      </c>
      <c r="F23" s="19">
        <v>607399.67000000004</v>
      </c>
      <c r="G23" s="19">
        <v>93677.82</v>
      </c>
      <c r="H23" s="19">
        <v>701077.49</v>
      </c>
    </row>
    <row r="24" spans="1:8" x14ac:dyDescent="0.25">
      <c r="A24" s="20">
        <v>2017</v>
      </c>
      <c r="B24" s="20">
        <v>10</v>
      </c>
      <c r="C24" s="20" t="s">
        <v>31</v>
      </c>
      <c r="D24" s="20">
        <v>4478</v>
      </c>
      <c r="E24" s="20">
        <v>5214</v>
      </c>
      <c r="F24" s="21">
        <v>648247.65</v>
      </c>
      <c r="G24" s="21">
        <v>102869.36</v>
      </c>
      <c r="H24" s="21">
        <v>751117.01</v>
      </c>
    </row>
    <row r="25" spans="1:8" x14ac:dyDescent="0.25">
      <c r="A25" s="18">
        <v>2017</v>
      </c>
      <c r="B25" s="18">
        <v>11</v>
      </c>
      <c r="C25" s="18" t="s">
        <v>32</v>
      </c>
      <c r="D25" s="18">
        <v>7289</v>
      </c>
      <c r="E25" s="18">
        <v>8475</v>
      </c>
      <c r="F25" s="19">
        <v>987765.37</v>
      </c>
      <c r="G25" s="19">
        <v>165598.82999999999</v>
      </c>
      <c r="H25" s="19">
        <v>1153364.2</v>
      </c>
    </row>
    <row r="26" spans="1:8" x14ac:dyDescent="0.25">
      <c r="A26" s="20">
        <v>2017</v>
      </c>
      <c r="B26" s="20">
        <v>12</v>
      </c>
      <c r="C26" s="20" t="s">
        <v>33</v>
      </c>
      <c r="D26" s="20">
        <v>5513</v>
      </c>
      <c r="E26" s="20">
        <v>6187</v>
      </c>
      <c r="F26" s="21">
        <v>726033.19</v>
      </c>
      <c r="G26" s="21">
        <v>117045.1</v>
      </c>
      <c r="H26" s="21">
        <v>843078.29</v>
      </c>
    </row>
    <row r="27" spans="1:8" x14ac:dyDescent="0.25">
      <c r="A27" s="18">
        <v>2018</v>
      </c>
      <c r="B27" s="18">
        <v>1</v>
      </c>
      <c r="C27" s="18" t="s">
        <v>22</v>
      </c>
      <c r="D27" s="18">
        <v>7069</v>
      </c>
      <c r="E27" s="18">
        <v>8037</v>
      </c>
      <c r="F27" s="19">
        <v>924645</v>
      </c>
      <c r="G27" s="19">
        <v>153242.46</v>
      </c>
      <c r="H27" s="19">
        <v>1077887.46</v>
      </c>
    </row>
    <row r="28" spans="1:8" x14ac:dyDescent="0.25">
      <c r="A28" s="20">
        <v>2018</v>
      </c>
      <c r="B28" s="20">
        <v>2</v>
      </c>
      <c r="C28" s="20" t="s">
        <v>23</v>
      </c>
      <c r="D28" s="20">
        <v>6555</v>
      </c>
      <c r="E28" s="20">
        <v>7518</v>
      </c>
      <c r="F28" s="21">
        <v>826437.13</v>
      </c>
      <c r="G28" s="21">
        <v>139731.28</v>
      </c>
      <c r="H28" s="21">
        <v>966168.41</v>
      </c>
    </row>
    <row r="29" spans="1:8" x14ac:dyDescent="0.25">
      <c r="A29" s="18">
        <v>2018</v>
      </c>
      <c r="B29" s="18">
        <v>3</v>
      </c>
      <c r="C29" s="18" t="s">
        <v>24</v>
      </c>
      <c r="D29" s="18">
        <v>7003</v>
      </c>
      <c r="E29" s="18">
        <v>8017</v>
      </c>
      <c r="F29" s="19">
        <v>953356.25</v>
      </c>
      <c r="G29" s="19">
        <v>167241.99</v>
      </c>
      <c r="H29" s="19">
        <v>1120598.24</v>
      </c>
    </row>
    <row r="30" spans="1:8" x14ac:dyDescent="0.25">
      <c r="A30" s="20">
        <v>2018</v>
      </c>
      <c r="B30" s="20">
        <v>4</v>
      </c>
      <c r="C30" s="20" t="s">
        <v>25</v>
      </c>
      <c r="D30" s="20">
        <v>6798</v>
      </c>
      <c r="E30" s="20">
        <v>7827</v>
      </c>
      <c r="F30" s="21">
        <v>973534.09</v>
      </c>
      <c r="G30" s="21">
        <v>159344.84</v>
      </c>
      <c r="H30" s="21">
        <v>1132878.93</v>
      </c>
    </row>
    <row r="31" spans="1:8" x14ac:dyDescent="0.25">
      <c r="A31" s="18">
        <v>2018</v>
      </c>
      <c r="B31" s="18">
        <v>5</v>
      </c>
      <c r="C31" s="18" t="s">
        <v>26</v>
      </c>
      <c r="D31" s="18">
        <v>6749</v>
      </c>
      <c r="E31" s="18">
        <v>7810</v>
      </c>
      <c r="F31" s="19">
        <v>977544.69</v>
      </c>
      <c r="G31" s="19">
        <v>151229.82999999999</v>
      </c>
      <c r="H31" s="19">
        <v>1128774.52</v>
      </c>
    </row>
    <row r="32" spans="1:8" x14ac:dyDescent="0.25">
      <c r="A32" s="20">
        <v>2018</v>
      </c>
      <c r="B32" s="20">
        <v>6</v>
      </c>
      <c r="C32" s="20" t="s">
        <v>27</v>
      </c>
      <c r="D32" s="20">
        <v>6099</v>
      </c>
      <c r="E32" s="20">
        <v>7010</v>
      </c>
      <c r="F32" s="21">
        <v>856077.86</v>
      </c>
      <c r="G32" s="21">
        <v>155900.43</v>
      </c>
      <c r="H32" s="21">
        <v>1011978.29</v>
      </c>
    </row>
    <row r="33" spans="1:8" x14ac:dyDescent="0.25">
      <c r="A33" s="18">
        <v>2018</v>
      </c>
      <c r="B33" s="18">
        <v>7</v>
      </c>
      <c r="C33" s="18" t="s">
        <v>28</v>
      </c>
      <c r="D33" s="18">
        <v>6159</v>
      </c>
      <c r="E33" s="18">
        <v>6963</v>
      </c>
      <c r="F33" s="19">
        <v>867953.46</v>
      </c>
      <c r="G33" s="19">
        <v>159853.82</v>
      </c>
      <c r="H33" s="19">
        <v>1027807.28</v>
      </c>
    </row>
    <row r="34" spans="1:8" x14ac:dyDescent="0.25">
      <c r="A34" s="20">
        <v>2018</v>
      </c>
      <c r="B34" s="20">
        <v>8</v>
      </c>
      <c r="C34" s="20" t="s">
        <v>29</v>
      </c>
      <c r="D34" s="20">
        <v>6351</v>
      </c>
      <c r="E34" s="20">
        <v>7142</v>
      </c>
      <c r="F34" s="21">
        <v>838576.64000000001</v>
      </c>
      <c r="G34" s="21">
        <v>146915</v>
      </c>
      <c r="H34" s="21">
        <v>985491.64</v>
      </c>
    </row>
    <row r="35" spans="1:8" x14ac:dyDescent="0.25">
      <c r="A35" s="18">
        <v>2018</v>
      </c>
      <c r="B35" s="18">
        <v>9</v>
      </c>
      <c r="C35" s="18" t="s">
        <v>30</v>
      </c>
      <c r="D35" s="18">
        <v>0</v>
      </c>
      <c r="E35" s="18">
        <v>0</v>
      </c>
      <c r="F35" s="19">
        <v>0</v>
      </c>
      <c r="G35" s="19">
        <v>0</v>
      </c>
      <c r="H35" s="19">
        <v>0</v>
      </c>
    </row>
    <row r="36" spans="1:8" x14ac:dyDescent="0.25">
      <c r="A36" s="20">
        <v>2018</v>
      </c>
      <c r="B36" s="20">
        <v>10</v>
      </c>
      <c r="C36" s="20" t="s">
        <v>31</v>
      </c>
      <c r="D36" s="20">
        <v>0</v>
      </c>
      <c r="E36" s="20">
        <v>0</v>
      </c>
      <c r="F36" s="21">
        <v>0</v>
      </c>
      <c r="G36" s="21">
        <v>0</v>
      </c>
      <c r="H36" s="21">
        <v>0</v>
      </c>
    </row>
    <row r="37" spans="1:8" x14ac:dyDescent="0.25">
      <c r="A37" s="18">
        <v>2018</v>
      </c>
      <c r="B37" s="18">
        <v>11</v>
      </c>
      <c r="C37" s="18" t="s">
        <v>32</v>
      </c>
      <c r="D37" s="18">
        <v>0</v>
      </c>
      <c r="E37" s="18">
        <v>0</v>
      </c>
      <c r="F37" s="19">
        <v>0</v>
      </c>
      <c r="G37" s="19">
        <v>0</v>
      </c>
      <c r="H37" s="19">
        <v>0</v>
      </c>
    </row>
    <row r="38" spans="1:8" x14ac:dyDescent="0.25">
      <c r="A38" s="20">
        <v>2018</v>
      </c>
      <c r="B38" s="20">
        <v>12</v>
      </c>
      <c r="C38" s="20" t="s">
        <v>33</v>
      </c>
      <c r="D38" s="20">
        <v>0</v>
      </c>
      <c r="E38" s="20">
        <v>0</v>
      </c>
      <c r="F38" s="21">
        <v>0</v>
      </c>
      <c r="G38" s="21">
        <v>0</v>
      </c>
      <c r="H38" s="21">
        <v>0</v>
      </c>
    </row>
    <row r="39" spans="1:8" x14ac:dyDescent="0.25">
      <c r="A39" s="26" t="s">
        <v>12</v>
      </c>
      <c r="B39" s="27"/>
      <c r="C39" s="28"/>
      <c r="D39" s="8">
        <f>SUM(D3:D38)</f>
        <v>96478</v>
      </c>
      <c r="E39" s="8">
        <f>SUM(E3:E38)</f>
        <v>110197</v>
      </c>
      <c r="F39" s="17">
        <f>SUM(F3:F38)</f>
        <v>13221498.109999999</v>
      </c>
      <c r="G39" s="17">
        <f>SUM(G3:G38)</f>
        <v>2198275.64</v>
      </c>
      <c r="H39" s="17">
        <f>SUM(H3:H38)</f>
        <v>15419773.749999998</v>
      </c>
    </row>
  </sheetData>
  <mergeCells count="2">
    <mergeCell ref="A1:H1"/>
    <mergeCell ref="A39:C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5"/>
  <sheetViews>
    <sheetView showGridLines="0" zoomScaleNormal="100" workbookViewId="0">
      <selection activeCell="J9" sqref="J9"/>
    </sheetView>
  </sheetViews>
  <sheetFormatPr defaultColWidth="8.7109375" defaultRowHeight="15" x14ac:dyDescent="0.25"/>
  <cols>
    <col min="1" max="1" width="8" customWidth="1"/>
    <col min="2" max="3" width="28" customWidth="1"/>
    <col min="4" max="5" width="12" customWidth="1"/>
    <col min="6" max="6" width="18" customWidth="1"/>
    <col min="7" max="7" width="20" customWidth="1"/>
  </cols>
  <sheetData>
    <row r="1" spans="1:7" ht="24" customHeight="1" x14ac:dyDescent="0.25">
      <c r="A1" s="2" t="s">
        <v>199</v>
      </c>
      <c r="B1" s="2"/>
      <c r="C1" s="2"/>
      <c r="D1" s="2"/>
      <c r="E1" s="2"/>
      <c r="F1" s="2"/>
      <c r="G1" s="2"/>
    </row>
    <row r="2" spans="1:7" x14ac:dyDescent="0.25">
      <c r="A2" s="8" t="s">
        <v>8</v>
      </c>
      <c r="B2" s="8" t="s">
        <v>34</v>
      </c>
      <c r="C2" s="8" t="s">
        <v>35</v>
      </c>
      <c r="D2" s="8" t="s">
        <v>3</v>
      </c>
      <c r="E2" s="8" t="s">
        <v>4</v>
      </c>
      <c r="F2" s="8" t="s">
        <v>10</v>
      </c>
      <c r="G2" s="8" t="s">
        <v>36</v>
      </c>
    </row>
    <row r="3" spans="1:7" x14ac:dyDescent="0.25">
      <c r="A3" s="18">
        <v>1</v>
      </c>
      <c r="B3" s="24" t="s">
        <v>37</v>
      </c>
      <c r="C3" s="18" t="s">
        <v>38</v>
      </c>
      <c r="D3" s="18">
        <v>8647</v>
      </c>
      <c r="E3" s="18">
        <v>9465</v>
      </c>
      <c r="F3" s="19">
        <v>1412089.53</v>
      </c>
      <c r="G3" s="19">
        <v>149.19</v>
      </c>
    </row>
    <row r="4" spans="1:7" x14ac:dyDescent="0.25">
      <c r="A4" s="20">
        <v>2</v>
      </c>
      <c r="B4" s="25" t="s">
        <v>39</v>
      </c>
      <c r="C4" s="20" t="s">
        <v>40</v>
      </c>
      <c r="D4" s="20">
        <v>5495</v>
      </c>
      <c r="E4" s="20">
        <v>5859</v>
      </c>
      <c r="F4" s="21">
        <v>1264333.1200000001</v>
      </c>
      <c r="G4" s="21">
        <v>215.79</v>
      </c>
    </row>
    <row r="5" spans="1:7" x14ac:dyDescent="0.25">
      <c r="A5" s="18">
        <v>3</v>
      </c>
      <c r="B5" s="24" t="s">
        <v>41</v>
      </c>
      <c r="C5" s="18" t="s">
        <v>42</v>
      </c>
      <c r="D5" s="18">
        <v>9272</v>
      </c>
      <c r="E5" s="18">
        <v>10953</v>
      </c>
      <c r="F5" s="19">
        <v>1225209.26</v>
      </c>
      <c r="G5" s="19">
        <v>111.86</v>
      </c>
    </row>
    <row r="6" spans="1:7" x14ac:dyDescent="0.25">
      <c r="A6" s="20">
        <v>4</v>
      </c>
      <c r="B6" s="25" t="s">
        <v>43</v>
      </c>
      <c r="C6" s="20" t="s">
        <v>44</v>
      </c>
      <c r="D6" s="20">
        <v>7530</v>
      </c>
      <c r="E6" s="20">
        <v>8431</v>
      </c>
      <c r="F6" s="21">
        <v>1118256.9099999999</v>
      </c>
      <c r="G6" s="21">
        <v>132.63999999999999</v>
      </c>
    </row>
    <row r="7" spans="1:7" x14ac:dyDescent="0.25">
      <c r="A7" s="18">
        <v>5</v>
      </c>
      <c r="B7" s="24" t="s">
        <v>45</v>
      </c>
      <c r="C7" s="18" t="s">
        <v>46</v>
      </c>
      <c r="D7" s="18">
        <v>6530</v>
      </c>
      <c r="E7" s="18">
        <v>7644</v>
      </c>
      <c r="F7" s="19">
        <v>1032723.77</v>
      </c>
      <c r="G7" s="19">
        <v>135.1</v>
      </c>
    </row>
    <row r="8" spans="1:7" x14ac:dyDescent="0.25">
      <c r="A8" s="20">
        <v>6</v>
      </c>
      <c r="B8" s="25" t="s">
        <v>47</v>
      </c>
      <c r="C8" s="20" t="s">
        <v>48</v>
      </c>
      <c r="D8" s="20">
        <v>6307</v>
      </c>
      <c r="E8" s="20">
        <v>8160</v>
      </c>
      <c r="F8" s="21">
        <v>880329.92</v>
      </c>
      <c r="G8" s="21">
        <v>107.88</v>
      </c>
    </row>
    <row r="9" spans="1:7" x14ac:dyDescent="0.25">
      <c r="A9" s="18">
        <v>7</v>
      </c>
      <c r="B9" s="24" t="s">
        <v>49</v>
      </c>
      <c r="C9" s="18" t="s">
        <v>50</v>
      </c>
      <c r="D9" s="18">
        <v>5743</v>
      </c>
      <c r="E9" s="18">
        <v>6795</v>
      </c>
      <c r="F9" s="19">
        <v>758392.25</v>
      </c>
      <c r="G9" s="19">
        <v>111.61</v>
      </c>
    </row>
    <row r="10" spans="1:7" x14ac:dyDescent="0.25">
      <c r="A10" s="20">
        <v>8</v>
      </c>
      <c r="B10" s="25" t="s">
        <v>51</v>
      </c>
      <c r="C10" s="20" t="s">
        <v>52</v>
      </c>
      <c r="D10" s="20">
        <v>3559</v>
      </c>
      <c r="E10" s="20">
        <v>3718</v>
      </c>
      <c r="F10" s="21">
        <v>691680.89</v>
      </c>
      <c r="G10" s="21">
        <v>186.04</v>
      </c>
    </row>
    <row r="11" spans="1:7" x14ac:dyDescent="0.25">
      <c r="A11" s="18">
        <v>9</v>
      </c>
      <c r="B11" s="24" t="s">
        <v>53</v>
      </c>
      <c r="C11" s="18" t="s">
        <v>54</v>
      </c>
      <c r="D11" s="18">
        <v>3810</v>
      </c>
      <c r="E11" s="18">
        <v>4140</v>
      </c>
      <c r="F11" s="19">
        <v>669454.75</v>
      </c>
      <c r="G11" s="19">
        <v>161.69999999999999</v>
      </c>
    </row>
    <row r="12" spans="1:7" x14ac:dyDescent="0.25">
      <c r="A12" s="20">
        <v>10</v>
      </c>
      <c r="B12" s="25" t="s">
        <v>55</v>
      </c>
      <c r="C12" s="20" t="s">
        <v>56</v>
      </c>
      <c r="D12" s="20">
        <v>3448</v>
      </c>
      <c r="E12" s="20">
        <v>4268</v>
      </c>
      <c r="F12" s="21">
        <v>567145.68000000005</v>
      </c>
      <c r="G12" s="21">
        <v>132.88</v>
      </c>
    </row>
    <row r="13" spans="1:7" x14ac:dyDescent="0.25">
      <c r="A13" s="18">
        <v>11</v>
      </c>
      <c r="B13" s="24" t="s">
        <v>57</v>
      </c>
      <c r="C13" s="18" t="s">
        <v>58</v>
      </c>
      <c r="D13" s="18">
        <v>3804</v>
      </c>
      <c r="E13" s="18">
        <v>4030</v>
      </c>
      <c r="F13" s="19">
        <v>547061.06000000006</v>
      </c>
      <c r="G13" s="19">
        <v>135.75</v>
      </c>
    </row>
    <row r="14" spans="1:7" x14ac:dyDescent="0.25">
      <c r="A14" s="20">
        <v>12</v>
      </c>
      <c r="B14" s="25" t="s">
        <v>59</v>
      </c>
      <c r="C14" s="20" t="s">
        <v>60</v>
      </c>
      <c r="D14" s="20">
        <v>2809</v>
      </c>
      <c r="E14" s="20">
        <v>2982</v>
      </c>
      <c r="F14" s="21">
        <v>466727.65</v>
      </c>
      <c r="G14" s="21">
        <v>156.51</v>
      </c>
    </row>
    <row r="15" spans="1:7" x14ac:dyDescent="0.25">
      <c r="A15" s="18">
        <v>13</v>
      </c>
      <c r="B15" s="24" t="s">
        <v>61</v>
      </c>
      <c r="C15" s="18" t="s">
        <v>62</v>
      </c>
      <c r="D15" s="18">
        <v>3086</v>
      </c>
      <c r="E15" s="18">
        <v>3340</v>
      </c>
      <c r="F15" s="19">
        <v>443171.63</v>
      </c>
      <c r="G15" s="19">
        <v>132.69</v>
      </c>
    </row>
    <row r="16" spans="1:7" x14ac:dyDescent="0.25">
      <c r="A16" s="20">
        <v>14</v>
      </c>
      <c r="B16" s="25" t="s">
        <v>63</v>
      </c>
      <c r="C16" s="20" t="s">
        <v>64</v>
      </c>
      <c r="D16" s="20">
        <v>4093</v>
      </c>
      <c r="E16" s="20">
        <v>4430</v>
      </c>
      <c r="F16" s="21">
        <v>379202.62</v>
      </c>
      <c r="G16" s="21">
        <v>85.6</v>
      </c>
    </row>
    <row r="17" spans="1:7" x14ac:dyDescent="0.25">
      <c r="A17" s="18">
        <v>15</v>
      </c>
      <c r="B17" s="24" t="s">
        <v>65</v>
      </c>
      <c r="C17" s="18" t="s">
        <v>66</v>
      </c>
      <c r="D17" s="18">
        <v>1254</v>
      </c>
      <c r="E17" s="18">
        <v>1668</v>
      </c>
      <c r="F17" s="19">
        <v>335211.36</v>
      </c>
      <c r="G17" s="19">
        <v>200.97</v>
      </c>
    </row>
    <row r="18" spans="1:7" x14ac:dyDescent="0.25">
      <c r="A18" s="20">
        <v>16</v>
      </c>
      <c r="B18" s="25" t="s">
        <v>67</v>
      </c>
      <c r="C18" s="20" t="s">
        <v>68</v>
      </c>
      <c r="D18" s="20">
        <v>2264</v>
      </c>
      <c r="E18" s="20">
        <v>2466</v>
      </c>
      <c r="F18" s="21">
        <v>269575.05</v>
      </c>
      <c r="G18" s="21">
        <v>109.32</v>
      </c>
    </row>
    <row r="19" spans="1:7" x14ac:dyDescent="0.25">
      <c r="A19" s="18">
        <v>17</v>
      </c>
      <c r="B19" s="24" t="s">
        <v>69</v>
      </c>
      <c r="C19" s="18" t="s">
        <v>70</v>
      </c>
      <c r="D19" s="18">
        <v>1688</v>
      </c>
      <c r="E19" s="18">
        <v>1924</v>
      </c>
      <c r="F19" s="19">
        <v>250614.2</v>
      </c>
      <c r="G19" s="19">
        <v>130.26</v>
      </c>
    </row>
    <row r="20" spans="1:7" x14ac:dyDescent="0.25">
      <c r="A20" s="20">
        <v>18</v>
      </c>
      <c r="B20" s="25" t="s">
        <v>71</v>
      </c>
      <c r="C20" s="20" t="s">
        <v>72</v>
      </c>
      <c r="D20" s="20">
        <v>177</v>
      </c>
      <c r="E20" s="20">
        <v>199</v>
      </c>
      <c r="F20" s="21">
        <v>228349.76</v>
      </c>
      <c r="G20" s="21">
        <v>1147.49</v>
      </c>
    </row>
    <row r="21" spans="1:7" ht="25.5" x14ac:dyDescent="0.25">
      <c r="A21" s="18">
        <v>19</v>
      </c>
      <c r="B21" s="24" t="s">
        <v>73</v>
      </c>
      <c r="C21" s="18" t="s">
        <v>74</v>
      </c>
      <c r="D21" s="18">
        <v>1412</v>
      </c>
      <c r="E21" s="18">
        <v>1559</v>
      </c>
      <c r="F21" s="19">
        <v>203353.84</v>
      </c>
      <c r="G21" s="19">
        <v>130.44</v>
      </c>
    </row>
    <row r="22" spans="1:7" x14ac:dyDescent="0.25">
      <c r="A22" s="20">
        <v>20</v>
      </c>
      <c r="B22" s="25" t="s">
        <v>75</v>
      </c>
      <c r="C22" s="20" t="s">
        <v>76</v>
      </c>
      <c r="D22" s="20">
        <v>611</v>
      </c>
      <c r="E22" s="20">
        <v>651</v>
      </c>
      <c r="F22" s="21">
        <v>202187.12</v>
      </c>
      <c r="G22" s="21">
        <v>310.58</v>
      </c>
    </row>
    <row r="23" spans="1:7" x14ac:dyDescent="0.25">
      <c r="A23" s="18">
        <v>21</v>
      </c>
      <c r="B23" s="24" t="s">
        <v>77</v>
      </c>
      <c r="C23" s="18" t="s">
        <v>78</v>
      </c>
      <c r="D23" s="18">
        <v>2517</v>
      </c>
      <c r="E23" s="18">
        <v>2729</v>
      </c>
      <c r="F23" s="19">
        <v>200723.09</v>
      </c>
      <c r="G23" s="19">
        <v>73.55</v>
      </c>
    </row>
    <row r="24" spans="1:7" x14ac:dyDescent="0.25">
      <c r="A24" s="20">
        <v>22</v>
      </c>
      <c r="B24" s="25" t="s">
        <v>79</v>
      </c>
      <c r="C24" s="20" t="s">
        <v>80</v>
      </c>
      <c r="D24" s="20">
        <v>609</v>
      </c>
      <c r="E24" s="20">
        <v>658</v>
      </c>
      <c r="F24" s="21">
        <v>198108.47</v>
      </c>
      <c r="G24" s="21">
        <v>301.08</v>
      </c>
    </row>
    <row r="25" spans="1:7" x14ac:dyDescent="0.25">
      <c r="A25" s="18">
        <v>23</v>
      </c>
      <c r="B25" s="24" t="s">
        <v>81</v>
      </c>
      <c r="C25" s="18" t="s">
        <v>82</v>
      </c>
      <c r="D25" s="18">
        <v>1820</v>
      </c>
      <c r="E25" s="18">
        <v>1985</v>
      </c>
      <c r="F25" s="19">
        <v>179888.29</v>
      </c>
      <c r="G25" s="19">
        <v>90.62</v>
      </c>
    </row>
    <row r="26" spans="1:7" x14ac:dyDescent="0.25">
      <c r="A26" s="20">
        <v>24</v>
      </c>
      <c r="B26" s="25" t="s">
        <v>83</v>
      </c>
      <c r="C26" s="20" t="s">
        <v>84</v>
      </c>
      <c r="D26" s="20">
        <v>1019</v>
      </c>
      <c r="E26" s="20">
        <v>1077</v>
      </c>
      <c r="F26" s="21">
        <v>168778.12</v>
      </c>
      <c r="G26" s="21">
        <v>156.71</v>
      </c>
    </row>
    <row r="27" spans="1:7" x14ac:dyDescent="0.25">
      <c r="A27" s="18">
        <v>25</v>
      </c>
      <c r="B27" s="24" t="s">
        <v>85</v>
      </c>
      <c r="C27" s="18" t="s">
        <v>86</v>
      </c>
      <c r="D27" s="18">
        <v>1018</v>
      </c>
      <c r="E27" s="18">
        <v>1089</v>
      </c>
      <c r="F27" s="19">
        <v>167097.73000000001</v>
      </c>
      <c r="G27" s="19">
        <v>153.44</v>
      </c>
    </row>
    <row r="28" spans="1:7" ht="25.5" x14ac:dyDescent="0.25">
      <c r="A28" s="20">
        <v>26</v>
      </c>
      <c r="B28" s="25" t="s">
        <v>87</v>
      </c>
      <c r="C28" s="20" t="s">
        <v>88</v>
      </c>
      <c r="D28" s="20">
        <v>736</v>
      </c>
      <c r="E28" s="20">
        <v>916</v>
      </c>
      <c r="F28" s="21">
        <v>162382.01</v>
      </c>
      <c r="G28" s="21">
        <v>177.27</v>
      </c>
    </row>
    <row r="29" spans="1:7" x14ac:dyDescent="0.25">
      <c r="A29" s="18">
        <v>27</v>
      </c>
      <c r="B29" s="24" t="s">
        <v>89</v>
      </c>
      <c r="C29" s="18" t="s">
        <v>90</v>
      </c>
      <c r="D29" s="18">
        <v>227</v>
      </c>
      <c r="E29" s="18">
        <v>231</v>
      </c>
      <c r="F29" s="19">
        <v>118208.52</v>
      </c>
      <c r="G29" s="19">
        <v>511.73</v>
      </c>
    </row>
    <row r="30" spans="1:7" x14ac:dyDescent="0.25">
      <c r="A30" s="20">
        <v>28</v>
      </c>
      <c r="B30" s="25" t="s">
        <v>91</v>
      </c>
      <c r="C30" s="20" t="s">
        <v>92</v>
      </c>
      <c r="D30" s="20">
        <v>483</v>
      </c>
      <c r="E30" s="20">
        <v>596</v>
      </c>
      <c r="F30" s="21">
        <v>95022.37</v>
      </c>
      <c r="G30" s="21">
        <v>159.43</v>
      </c>
    </row>
    <row r="31" spans="1:7" x14ac:dyDescent="0.25">
      <c r="A31" s="18">
        <v>29</v>
      </c>
      <c r="B31" s="24" t="s">
        <v>93</v>
      </c>
      <c r="C31" s="18" t="s">
        <v>94</v>
      </c>
      <c r="D31" s="18">
        <v>747</v>
      </c>
      <c r="E31" s="18">
        <v>754</v>
      </c>
      <c r="F31" s="19">
        <v>93301.78</v>
      </c>
      <c r="G31" s="19">
        <v>123.74</v>
      </c>
    </row>
    <row r="32" spans="1:7" x14ac:dyDescent="0.25">
      <c r="A32" s="20">
        <v>30</v>
      </c>
      <c r="B32" s="25" t="s">
        <v>95</v>
      </c>
      <c r="C32" s="20" t="s">
        <v>96</v>
      </c>
      <c r="D32" s="20">
        <v>414</v>
      </c>
      <c r="E32" s="20">
        <v>495</v>
      </c>
      <c r="F32" s="21">
        <v>85045.07</v>
      </c>
      <c r="G32" s="21">
        <v>171.81</v>
      </c>
    </row>
    <row r="33" spans="1:7" x14ac:dyDescent="0.25">
      <c r="A33" s="18">
        <v>31</v>
      </c>
      <c r="B33" s="24" t="s">
        <v>97</v>
      </c>
      <c r="C33" s="18" t="s">
        <v>98</v>
      </c>
      <c r="D33" s="18">
        <v>177</v>
      </c>
      <c r="E33" s="18">
        <v>206</v>
      </c>
      <c r="F33" s="19">
        <v>76203.3</v>
      </c>
      <c r="G33" s="19">
        <v>369.92</v>
      </c>
    </row>
    <row r="34" spans="1:7" x14ac:dyDescent="0.25">
      <c r="A34" s="20">
        <v>32</v>
      </c>
      <c r="B34" s="25" t="s">
        <v>99</v>
      </c>
      <c r="C34" s="20" t="s">
        <v>100</v>
      </c>
      <c r="D34" s="20">
        <v>392</v>
      </c>
      <c r="E34" s="20">
        <v>429</v>
      </c>
      <c r="F34" s="21">
        <v>66438.22</v>
      </c>
      <c r="G34" s="21">
        <v>154.87</v>
      </c>
    </row>
    <row r="35" spans="1:7" x14ac:dyDescent="0.25">
      <c r="A35" s="18">
        <v>33</v>
      </c>
      <c r="B35" s="24" t="s">
        <v>101</v>
      </c>
      <c r="C35" s="18" t="s">
        <v>102</v>
      </c>
      <c r="D35" s="18">
        <v>246</v>
      </c>
      <c r="E35" s="18">
        <v>289</v>
      </c>
      <c r="F35" s="19">
        <v>59854.55</v>
      </c>
      <c r="G35" s="19">
        <v>207.11</v>
      </c>
    </row>
    <row r="36" spans="1:7" x14ac:dyDescent="0.25">
      <c r="A36" s="20">
        <v>34</v>
      </c>
      <c r="B36" s="25" t="s">
        <v>103</v>
      </c>
      <c r="C36" s="20" t="s">
        <v>104</v>
      </c>
      <c r="D36" s="20">
        <v>212</v>
      </c>
      <c r="E36" s="20">
        <v>255</v>
      </c>
      <c r="F36" s="21">
        <v>59816.54</v>
      </c>
      <c r="G36" s="21">
        <v>234.57</v>
      </c>
    </row>
    <row r="37" spans="1:7" ht="25.5" x14ac:dyDescent="0.25">
      <c r="A37" s="18">
        <v>35</v>
      </c>
      <c r="B37" s="24" t="s">
        <v>105</v>
      </c>
      <c r="C37" s="18" t="s">
        <v>106</v>
      </c>
      <c r="D37" s="18">
        <v>241</v>
      </c>
      <c r="E37" s="18">
        <v>274</v>
      </c>
      <c r="F37" s="19">
        <v>57072.97</v>
      </c>
      <c r="G37" s="19">
        <v>208.3</v>
      </c>
    </row>
    <row r="38" spans="1:7" x14ac:dyDescent="0.25">
      <c r="A38" s="20">
        <v>36</v>
      </c>
      <c r="B38" s="25" t="s">
        <v>107</v>
      </c>
      <c r="C38" s="20" t="s">
        <v>108</v>
      </c>
      <c r="D38" s="20">
        <v>348</v>
      </c>
      <c r="E38" s="20">
        <v>362</v>
      </c>
      <c r="F38" s="21">
        <v>56255.32</v>
      </c>
      <c r="G38" s="21">
        <v>155.4</v>
      </c>
    </row>
    <row r="39" spans="1:7" x14ac:dyDescent="0.25">
      <c r="A39" s="18">
        <v>37</v>
      </c>
      <c r="B39" s="24" t="s">
        <v>109</v>
      </c>
      <c r="C39" s="18" t="s">
        <v>110</v>
      </c>
      <c r="D39" s="18">
        <v>496</v>
      </c>
      <c r="E39" s="18">
        <v>537</v>
      </c>
      <c r="F39" s="19">
        <v>54182.54</v>
      </c>
      <c r="G39" s="19">
        <v>100.9</v>
      </c>
    </row>
    <row r="40" spans="1:7" x14ac:dyDescent="0.25">
      <c r="A40" s="20">
        <v>38</v>
      </c>
      <c r="B40" s="25" t="s">
        <v>111</v>
      </c>
      <c r="C40" s="20" t="s">
        <v>112</v>
      </c>
      <c r="D40" s="20">
        <v>72</v>
      </c>
      <c r="E40" s="20">
        <v>73</v>
      </c>
      <c r="F40" s="21">
        <v>49245.9</v>
      </c>
      <c r="G40" s="21">
        <v>674.6</v>
      </c>
    </row>
    <row r="41" spans="1:7" ht="25.5" x14ac:dyDescent="0.25">
      <c r="A41" s="18">
        <v>39</v>
      </c>
      <c r="B41" s="24" t="s">
        <v>113</v>
      </c>
      <c r="C41" s="18" t="s">
        <v>114</v>
      </c>
      <c r="D41" s="18">
        <v>242</v>
      </c>
      <c r="E41" s="18">
        <v>301</v>
      </c>
      <c r="F41" s="19">
        <v>47447.14</v>
      </c>
      <c r="G41" s="19">
        <v>157.63</v>
      </c>
    </row>
    <row r="42" spans="1:7" x14ac:dyDescent="0.25">
      <c r="A42" s="20">
        <v>40</v>
      </c>
      <c r="B42" s="25" t="s">
        <v>115</v>
      </c>
      <c r="C42" s="20" t="s">
        <v>116</v>
      </c>
      <c r="D42" s="20">
        <v>232</v>
      </c>
      <c r="E42" s="20">
        <v>265</v>
      </c>
      <c r="F42" s="21">
        <v>46079.34</v>
      </c>
      <c r="G42" s="21">
        <v>173.88</v>
      </c>
    </row>
    <row r="43" spans="1:7" ht="25.5" x14ac:dyDescent="0.25">
      <c r="A43" s="18">
        <v>41</v>
      </c>
      <c r="B43" s="24" t="s">
        <v>117</v>
      </c>
      <c r="C43" s="18" t="s">
        <v>118</v>
      </c>
      <c r="D43" s="18">
        <v>159</v>
      </c>
      <c r="E43" s="18">
        <v>183</v>
      </c>
      <c r="F43" s="19">
        <v>42504.02</v>
      </c>
      <c r="G43" s="19">
        <v>232.26</v>
      </c>
    </row>
    <row r="44" spans="1:7" x14ac:dyDescent="0.25">
      <c r="A44" s="20">
        <v>42</v>
      </c>
      <c r="B44" s="25" t="s">
        <v>119</v>
      </c>
      <c r="C44" s="20" t="s">
        <v>120</v>
      </c>
      <c r="D44" s="20">
        <v>441</v>
      </c>
      <c r="E44" s="20">
        <v>499</v>
      </c>
      <c r="F44" s="21">
        <v>35794.68</v>
      </c>
      <c r="G44" s="21">
        <v>71.73</v>
      </c>
    </row>
    <row r="45" spans="1:7" x14ac:dyDescent="0.25">
      <c r="A45" s="18">
        <v>43</v>
      </c>
      <c r="B45" s="24" t="s">
        <v>121</v>
      </c>
      <c r="C45" s="18" t="s">
        <v>122</v>
      </c>
      <c r="D45" s="18">
        <v>274</v>
      </c>
      <c r="E45" s="18">
        <v>305</v>
      </c>
      <c r="F45" s="19">
        <v>33114.379999999997</v>
      </c>
      <c r="G45" s="19">
        <v>108.57</v>
      </c>
    </row>
    <row r="46" spans="1:7" x14ac:dyDescent="0.25">
      <c r="A46" s="20">
        <v>44</v>
      </c>
      <c r="B46" s="25" t="s">
        <v>123</v>
      </c>
      <c r="C46" s="20" t="s">
        <v>124</v>
      </c>
      <c r="D46" s="20">
        <v>190</v>
      </c>
      <c r="E46" s="20">
        <v>232</v>
      </c>
      <c r="F46" s="21">
        <v>30283.94</v>
      </c>
      <c r="G46" s="21">
        <v>130.53</v>
      </c>
    </row>
    <row r="47" spans="1:7" x14ac:dyDescent="0.25">
      <c r="A47" s="18">
        <v>45</v>
      </c>
      <c r="B47" s="24" t="s">
        <v>125</v>
      </c>
      <c r="C47" s="18" t="s">
        <v>126</v>
      </c>
      <c r="D47" s="18">
        <v>235</v>
      </c>
      <c r="E47" s="18">
        <v>257</v>
      </c>
      <c r="F47" s="19">
        <v>27814.83</v>
      </c>
      <c r="G47" s="19">
        <v>108.23</v>
      </c>
    </row>
    <row r="48" spans="1:7" x14ac:dyDescent="0.25">
      <c r="A48" s="20">
        <v>46</v>
      </c>
      <c r="B48" s="25" t="s">
        <v>127</v>
      </c>
      <c r="C48" s="20" t="s">
        <v>128</v>
      </c>
      <c r="D48" s="20">
        <v>138</v>
      </c>
      <c r="E48" s="20">
        <v>197</v>
      </c>
      <c r="F48" s="21">
        <v>27792.59</v>
      </c>
      <c r="G48" s="21">
        <v>141.08000000000001</v>
      </c>
    </row>
    <row r="49" spans="1:7" x14ac:dyDescent="0.25">
      <c r="A49" s="18">
        <v>47</v>
      </c>
      <c r="B49" s="24" t="s">
        <v>129</v>
      </c>
      <c r="C49" s="18" t="s">
        <v>130</v>
      </c>
      <c r="D49" s="18">
        <v>195</v>
      </c>
      <c r="E49" s="18">
        <v>197</v>
      </c>
      <c r="F49" s="19">
        <v>27485.53</v>
      </c>
      <c r="G49" s="19">
        <v>139.52000000000001</v>
      </c>
    </row>
    <row r="50" spans="1:7" x14ac:dyDescent="0.25">
      <c r="A50" s="20">
        <v>48</v>
      </c>
      <c r="B50" s="25" t="s">
        <v>131</v>
      </c>
      <c r="C50" s="20" t="s">
        <v>132</v>
      </c>
      <c r="D50" s="20">
        <v>287</v>
      </c>
      <c r="E50" s="20">
        <v>361</v>
      </c>
      <c r="F50" s="21">
        <v>26971.11</v>
      </c>
      <c r="G50" s="21">
        <v>74.709999999999994</v>
      </c>
    </row>
    <row r="51" spans="1:7" x14ac:dyDescent="0.25">
      <c r="A51" s="18">
        <v>49</v>
      </c>
      <c r="B51" s="24" t="s">
        <v>133</v>
      </c>
      <c r="C51" s="18" t="s">
        <v>134</v>
      </c>
      <c r="D51" s="18">
        <v>90</v>
      </c>
      <c r="E51" s="18">
        <v>103</v>
      </c>
      <c r="F51" s="19">
        <v>23379.22</v>
      </c>
      <c r="G51" s="19">
        <v>226.98</v>
      </c>
    </row>
    <row r="52" spans="1:7" x14ac:dyDescent="0.25">
      <c r="A52" s="20">
        <v>50</v>
      </c>
      <c r="B52" s="25" t="s">
        <v>135</v>
      </c>
      <c r="C52" s="20" t="s">
        <v>136</v>
      </c>
      <c r="D52" s="20">
        <v>256</v>
      </c>
      <c r="E52" s="20">
        <v>263</v>
      </c>
      <c r="F52" s="21">
        <v>22901.07</v>
      </c>
      <c r="G52" s="21">
        <v>87.08</v>
      </c>
    </row>
    <row r="53" spans="1:7" x14ac:dyDescent="0.25">
      <c r="A53" s="18">
        <v>51</v>
      </c>
      <c r="B53" s="24" t="s">
        <v>137</v>
      </c>
      <c r="C53" s="18" t="s">
        <v>138</v>
      </c>
      <c r="D53" s="18">
        <v>221</v>
      </c>
      <c r="E53" s="18">
        <v>269</v>
      </c>
      <c r="F53" s="19">
        <v>19337.77</v>
      </c>
      <c r="G53" s="19">
        <v>71.89</v>
      </c>
    </row>
    <row r="54" spans="1:7" ht="25.5" x14ac:dyDescent="0.25">
      <c r="A54" s="20">
        <v>52</v>
      </c>
      <c r="B54" s="25" t="s">
        <v>139</v>
      </c>
      <c r="C54" s="20" t="s">
        <v>140</v>
      </c>
      <c r="D54" s="20">
        <v>97</v>
      </c>
      <c r="E54" s="20">
        <v>103</v>
      </c>
      <c r="F54" s="21">
        <v>17934.169999999998</v>
      </c>
      <c r="G54" s="21">
        <v>174.12</v>
      </c>
    </row>
    <row r="55" spans="1:7" x14ac:dyDescent="0.25">
      <c r="A55" s="18">
        <v>53</v>
      </c>
      <c r="B55" s="24" t="s">
        <v>141</v>
      </c>
      <c r="C55" s="18" t="s">
        <v>142</v>
      </c>
      <c r="D55" s="18">
        <v>106</v>
      </c>
      <c r="E55" s="18">
        <v>125</v>
      </c>
      <c r="F55" s="19">
        <v>12514.95</v>
      </c>
      <c r="G55" s="19">
        <v>100.12</v>
      </c>
    </row>
    <row r="56" spans="1:7" x14ac:dyDescent="0.25">
      <c r="A56" s="20">
        <v>54</v>
      </c>
      <c r="B56" s="25" t="s">
        <v>143</v>
      </c>
      <c r="C56" s="20" t="s">
        <v>144</v>
      </c>
      <c r="D56" s="20">
        <v>125</v>
      </c>
      <c r="E56" s="20">
        <v>150</v>
      </c>
      <c r="F56" s="21">
        <v>11928.75</v>
      </c>
      <c r="G56" s="21">
        <v>79.53</v>
      </c>
    </row>
    <row r="57" spans="1:7" ht="25.5" x14ac:dyDescent="0.25">
      <c r="A57" s="18">
        <v>55</v>
      </c>
      <c r="B57" s="24" t="s">
        <v>145</v>
      </c>
      <c r="C57" s="18" t="s">
        <v>146</v>
      </c>
      <c r="D57" s="18">
        <v>117</v>
      </c>
      <c r="E57" s="18">
        <v>127</v>
      </c>
      <c r="F57" s="19">
        <v>11160.02</v>
      </c>
      <c r="G57" s="19">
        <v>87.87</v>
      </c>
    </row>
    <row r="58" spans="1:7" x14ac:dyDescent="0.25">
      <c r="A58" s="20">
        <v>56</v>
      </c>
      <c r="B58" s="25" t="s">
        <v>147</v>
      </c>
      <c r="C58" s="20" t="s">
        <v>148</v>
      </c>
      <c r="D58" s="20">
        <v>79</v>
      </c>
      <c r="E58" s="20">
        <v>83</v>
      </c>
      <c r="F58" s="21">
        <v>8754.61</v>
      </c>
      <c r="G58" s="21">
        <v>105.48</v>
      </c>
    </row>
    <row r="59" spans="1:7" x14ac:dyDescent="0.25">
      <c r="A59" s="18">
        <v>57</v>
      </c>
      <c r="B59" s="24" t="s">
        <v>149</v>
      </c>
      <c r="C59" s="18" t="s">
        <v>150</v>
      </c>
      <c r="D59" s="18">
        <v>63</v>
      </c>
      <c r="E59" s="18">
        <v>70</v>
      </c>
      <c r="F59" s="19">
        <v>7902.18</v>
      </c>
      <c r="G59" s="19">
        <v>112.89</v>
      </c>
    </row>
    <row r="60" spans="1:7" x14ac:dyDescent="0.25">
      <c r="A60" s="20">
        <v>58</v>
      </c>
      <c r="B60" s="25" t="s">
        <v>151</v>
      </c>
      <c r="C60" s="20" t="s">
        <v>152</v>
      </c>
      <c r="D60" s="20">
        <v>38</v>
      </c>
      <c r="E60" s="20">
        <v>38</v>
      </c>
      <c r="F60" s="21">
        <v>6724.86</v>
      </c>
      <c r="G60" s="21">
        <v>176.97</v>
      </c>
    </row>
    <row r="61" spans="1:7" x14ac:dyDescent="0.25">
      <c r="A61" s="18">
        <v>59</v>
      </c>
      <c r="B61" s="24" t="s">
        <v>153</v>
      </c>
      <c r="C61" s="18" t="s">
        <v>154</v>
      </c>
      <c r="D61" s="18">
        <v>37</v>
      </c>
      <c r="E61" s="18">
        <v>37</v>
      </c>
      <c r="F61" s="19">
        <v>5904.75</v>
      </c>
      <c r="G61" s="19">
        <v>159.59</v>
      </c>
    </row>
    <row r="62" spans="1:7" x14ac:dyDescent="0.25">
      <c r="A62" s="20">
        <v>60</v>
      </c>
      <c r="B62" s="25" t="s">
        <v>155</v>
      </c>
      <c r="C62" s="20" t="s">
        <v>156</v>
      </c>
      <c r="D62" s="20">
        <v>56</v>
      </c>
      <c r="E62" s="20">
        <v>61</v>
      </c>
      <c r="F62" s="21">
        <v>5769.84</v>
      </c>
      <c r="G62" s="21">
        <v>94.59</v>
      </c>
    </row>
    <row r="63" spans="1:7" x14ac:dyDescent="0.25">
      <c r="A63" s="18">
        <v>61</v>
      </c>
      <c r="B63" s="24" t="s">
        <v>157</v>
      </c>
      <c r="C63" s="18" t="s">
        <v>158</v>
      </c>
      <c r="D63" s="18">
        <v>38</v>
      </c>
      <c r="E63" s="18">
        <v>42</v>
      </c>
      <c r="F63" s="19">
        <v>5285.38</v>
      </c>
      <c r="G63" s="19">
        <v>125.84</v>
      </c>
    </row>
    <row r="64" spans="1:7" x14ac:dyDescent="0.25">
      <c r="A64" s="20">
        <v>62</v>
      </c>
      <c r="B64" s="25" t="s">
        <v>159</v>
      </c>
      <c r="C64" s="20" t="s">
        <v>160</v>
      </c>
      <c r="D64" s="20">
        <v>50</v>
      </c>
      <c r="E64" s="20">
        <v>57</v>
      </c>
      <c r="F64" s="21">
        <v>5150.9399999999996</v>
      </c>
      <c r="G64" s="21">
        <v>90.37</v>
      </c>
    </row>
    <row r="65" spans="1:7" x14ac:dyDescent="0.25">
      <c r="A65" s="18">
        <v>63</v>
      </c>
      <c r="B65" s="24" t="s">
        <v>161</v>
      </c>
      <c r="C65" s="18" t="s">
        <v>162</v>
      </c>
      <c r="D65" s="18">
        <v>36</v>
      </c>
      <c r="E65" s="18">
        <v>45</v>
      </c>
      <c r="F65" s="19">
        <v>3218.44</v>
      </c>
      <c r="G65" s="19">
        <v>71.52</v>
      </c>
    </row>
    <row r="66" spans="1:7" x14ac:dyDescent="0.25">
      <c r="A66" s="20">
        <v>64</v>
      </c>
      <c r="B66" s="25" t="s">
        <v>163</v>
      </c>
      <c r="C66" s="20" t="s">
        <v>164</v>
      </c>
      <c r="D66" s="20">
        <v>26</v>
      </c>
      <c r="E66" s="20">
        <v>29</v>
      </c>
      <c r="F66" s="21">
        <v>2657.55</v>
      </c>
      <c r="G66" s="21">
        <v>91.64</v>
      </c>
    </row>
    <row r="67" spans="1:7" x14ac:dyDescent="0.25">
      <c r="A67" s="18">
        <v>65</v>
      </c>
      <c r="B67" s="24" t="s">
        <v>165</v>
      </c>
      <c r="C67" s="18" t="s">
        <v>166</v>
      </c>
      <c r="D67" s="18">
        <v>13</v>
      </c>
      <c r="E67" s="18">
        <v>14</v>
      </c>
      <c r="F67" s="19">
        <v>2388.54</v>
      </c>
      <c r="G67" s="19">
        <v>170.61</v>
      </c>
    </row>
    <row r="68" spans="1:7" x14ac:dyDescent="0.25">
      <c r="A68" s="20">
        <v>66</v>
      </c>
      <c r="B68" s="25" t="s">
        <v>167</v>
      </c>
      <c r="C68" s="20" t="s">
        <v>168</v>
      </c>
      <c r="D68" s="20">
        <v>23</v>
      </c>
      <c r="E68" s="20">
        <v>24</v>
      </c>
      <c r="F68" s="21">
        <v>2184.14</v>
      </c>
      <c r="G68" s="21">
        <v>91.01</v>
      </c>
    </row>
    <row r="69" spans="1:7" x14ac:dyDescent="0.25">
      <c r="A69" s="18">
        <v>67</v>
      </c>
      <c r="B69" s="24" t="s">
        <v>169</v>
      </c>
      <c r="C69" s="18" t="s">
        <v>170</v>
      </c>
      <c r="D69" s="18">
        <v>25</v>
      </c>
      <c r="E69" s="18">
        <v>37</v>
      </c>
      <c r="F69" s="19">
        <v>2046.19</v>
      </c>
      <c r="G69" s="19">
        <v>55.3</v>
      </c>
    </row>
    <row r="70" spans="1:7" x14ac:dyDescent="0.25">
      <c r="A70" s="20">
        <v>68</v>
      </c>
      <c r="B70" s="25" t="s">
        <v>171</v>
      </c>
      <c r="C70" s="20" t="s">
        <v>172</v>
      </c>
      <c r="D70" s="20">
        <v>29</v>
      </c>
      <c r="E70" s="20">
        <v>33</v>
      </c>
      <c r="F70" s="21">
        <v>1598.91</v>
      </c>
      <c r="G70" s="21">
        <v>48.45</v>
      </c>
    </row>
    <row r="71" spans="1:7" x14ac:dyDescent="0.25">
      <c r="A71" s="18">
        <v>69</v>
      </c>
      <c r="B71" s="24" t="s">
        <v>173</v>
      </c>
      <c r="C71" s="18" t="s">
        <v>174</v>
      </c>
      <c r="D71" s="18">
        <v>24</v>
      </c>
      <c r="E71" s="18">
        <v>30</v>
      </c>
      <c r="F71" s="19">
        <v>1170.58</v>
      </c>
      <c r="G71" s="19">
        <v>39.020000000000003</v>
      </c>
    </row>
    <row r="72" spans="1:7" x14ac:dyDescent="0.25">
      <c r="A72" s="20">
        <v>70</v>
      </c>
      <c r="B72" s="25" t="s">
        <v>175</v>
      </c>
      <c r="C72" s="20" t="s">
        <v>176</v>
      </c>
      <c r="D72" s="20">
        <v>12</v>
      </c>
      <c r="E72" s="20">
        <v>14</v>
      </c>
      <c r="F72" s="21">
        <v>954.99</v>
      </c>
      <c r="G72" s="21">
        <v>68.209999999999994</v>
      </c>
    </row>
    <row r="73" spans="1:7" x14ac:dyDescent="0.25">
      <c r="A73" s="18">
        <v>71</v>
      </c>
      <c r="B73" s="24" t="s">
        <v>177</v>
      </c>
      <c r="C73" s="18" t="s">
        <v>178</v>
      </c>
      <c r="D73" s="18">
        <v>7</v>
      </c>
      <c r="E73" s="18">
        <v>7</v>
      </c>
      <c r="F73" s="19">
        <v>598.66999999999996</v>
      </c>
      <c r="G73" s="19">
        <v>85.52</v>
      </c>
    </row>
    <row r="74" spans="1:7" x14ac:dyDescent="0.25">
      <c r="A74" s="20">
        <v>72</v>
      </c>
      <c r="B74" s="25" t="s">
        <v>179</v>
      </c>
      <c r="C74" s="20" t="s">
        <v>180</v>
      </c>
      <c r="D74" s="20">
        <v>2</v>
      </c>
      <c r="E74" s="20">
        <v>2</v>
      </c>
      <c r="F74" s="21">
        <v>324.51</v>
      </c>
      <c r="G74" s="21">
        <v>162.26</v>
      </c>
    </row>
    <row r="75" spans="1:7" x14ac:dyDescent="0.25">
      <c r="A75" s="8" t="s">
        <v>12</v>
      </c>
      <c r="B75" s="8" t="s">
        <v>181</v>
      </c>
      <c r="C75" s="8"/>
      <c r="D75" s="8">
        <f>SUM(D3:D74)</f>
        <v>97276</v>
      </c>
      <c r="E75" s="8">
        <f>SUM(E3:E74)</f>
        <v>110197</v>
      </c>
      <c r="F75" s="17">
        <f>SUM(F3:F74)</f>
        <v>15419773.749999993</v>
      </c>
      <c r="G75" s="17">
        <f>IF(E75=0,0,F75/E75)</f>
        <v>139.92916095719477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showGridLines="0" topLeftCell="A17" zoomScaleNormal="100" workbookViewId="0">
      <selection activeCell="F6" sqref="F6"/>
    </sheetView>
  </sheetViews>
  <sheetFormatPr defaultColWidth="8.7109375" defaultRowHeight="15" x14ac:dyDescent="0.25"/>
  <cols>
    <col min="1" max="1" width="8" customWidth="1"/>
    <col min="2" max="3" width="10" customWidth="1"/>
    <col min="4" max="4" width="14" customWidth="1"/>
    <col min="5" max="5" width="12" customWidth="1"/>
    <col min="6" max="8" width="20" customWidth="1"/>
    <col min="9" max="9" width="22" customWidth="1"/>
  </cols>
  <sheetData>
    <row r="1" spans="1:9" ht="27.75" customHeight="1" x14ac:dyDescent="0.25">
      <c r="A1" s="1" t="s">
        <v>198</v>
      </c>
      <c r="B1" s="1"/>
      <c r="C1" s="1"/>
      <c r="D1" s="1"/>
      <c r="E1" s="1"/>
      <c r="F1" s="1"/>
      <c r="G1" s="1"/>
      <c r="H1" s="1"/>
      <c r="I1" s="1"/>
    </row>
    <row r="2" spans="1:9" ht="25.5" x14ac:dyDescent="0.25">
      <c r="A2" s="8" t="s">
        <v>1</v>
      </c>
      <c r="B2" s="8" t="s">
        <v>17</v>
      </c>
      <c r="C2" s="8" t="s">
        <v>2</v>
      </c>
      <c r="D2" s="8" t="s">
        <v>182</v>
      </c>
      <c r="E2" s="8" t="s">
        <v>183</v>
      </c>
      <c r="F2" s="8" t="s">
        <v>184</v>
      </c>
      <c r="G2" s="8" t="s">
        <v>185</v>
      </c>
      <c r="H2" s="8" t="s">
        <v>186</v>
      </c>
      <c r="I2" s="8" t="s">
        <v>187</v>
      </c>
    </row>
    <row r="3" spans="1:9" x14ac:dyDescent="0.25">
      <c r="A3" s="18">
        <f>'Data - Monthly'!A3</f>
        <v>2016</v>
      </c>
      <c r="B3" s="18">
        <f>'Data - Monthly'!B3</f>
        <v>1</v>
      </c>
      <c r="C3" s="18" t="str">
        <f>'Data - Monthly'!C3</f>
        <v>Jan</v>
      </c>
      <c r="D3" s="18">
        <f>'Data - Monthly'!D3</f>
        <v>0</v>
      </c>
      <c r="E3" s="18">
        <f>'Data - Monthly'!E3</f>
        <v>0</v>
      </c>
      <c r="F3" s="19">
        <f>'Data - Monthly'!F3</f>
        <v>0</v>
      </c>
      <c r="G3" s="19">
        <f>'Data - Monthly'!G3</f>
        <v>0</v>
      </c>
      <c r="H3" s="19">
        <f>'Data - Monthly'!H3</f>
        <v>0</v>
      </c>
      <c r="I3" s="19">
        <f t="shared" ref="I3:I39" si="0">IF(D3=0,0,H3/D3)</f>
        <v>0</v>
      </c>
    </row>
    <row r="4" spans="1:9" x14ac:dyDescent="0.25">
      <c r="A4" s="20">
        <f>'Data - Monthly'!A4</f>
        <v>2016</v>
      </c>
      <c r="B4" s="20">
        <f>'Data - Monthly'!B4</f>
        <v>2</v>
      </c>
      <c r="C4" s="20" t="str">
        <f>'Data - Monthly'!C4</f>
        <v>Feb</v>
      </c>
      <c r="D4" s="20">
        <f>'Data - Monthly'!D4</f>
        <v>0</v>
      </c>
      <c r="E4" s="20">
        <f>'Data - Monthly'!E4</f>
        <v>0</v>
      </c>
      <c r="F4" s="21">
        <f>'Data - Monthly'!F4</f>
        <v>0</v>
      </c>
      <c r="G4" s="21">
        <f>'Data - Monthly'!G4</f>
        <v>0</v>
      </c>
      <c r="H4" s="21">
        <f>'Data - Monthly'!H4</f>
        <v>0</v>
      </c>
      <c r="I4" s="21">
        <f t="shared" si="0"/>
        <v>0</v>
      </c>
    </row>
    <row r="5" spans="1:9" x14ac:dyDescent="0.25">
      <c r="A5" s="18">
        <f>'Data - Monthly'!A5</f>
        <v>2016</v>
      </c>
      <c r="B5" s="18">
        <f>'Data - Monthly'!B5</f>
        <v>3</v>
      </c>
      <c r="C5" s="18" t="str">
        <f>'Data - Monthly'!C5</f>
        <v>Mar</v>
      </c>
      <c r="D5" s="18">
        <f>'Data - Monthly'!D5</f>
        <v>0</v>
      </c>
      <c r="E5" s="18">
        <f>'Data - Monthly'!E5</f>
        <v>0</v>
      </c>
      <c r="F5" s="19">
        <f>'Data - Monthly'!F5</f>
        <v>0</v>
      </c>
      <c r="G5" s="19">
        <f>'Data - Monthly'!G5</f>
        <v>0</v>
      </c>
      <c r="H5" s="19">
        <f>'Data - Monthly'!H5</f>
        <v>0</v>
      </c>
      <c r="I5" s="19">
        <f t="shared" si="0"/>
        <v>0</v>
      </c>
    </row>
    <row r="6" spans="1:9" x14ac:dyDescent="0.25">
      <c r="A6" s="20">
        <f>'Data - Monthly'!A6</f>
        <v>2016</v>
      </c>
      <c r="B6" s="20">
        <f>'Data - Monthly'!B6</f>
        <v>4</v>
      </c>
      <c r="C6" s="20" t="str">
        <f>'Data - Monthly'!C6</f>
        <v>Apr</v>
      </c>
      <c r="D6" s="20">
        <f>'Data - Monthly'!D6</f>
        <v>0</v>
      </c>
      <c r="E6" s="20">
        <f>'Data - Monthly'!E6</f>
        <v>0</v>
      </c>
      <c r="F6" s="21">
        <f>'Data - Monthly'!F6</f>
        <v>0</v>
      </c>
      <c r="G6" s="21">
        <f>'Data - Monthly'!G6</f>
        <v>0</v>
      </c>
      <c r="H6" s="21">
        <f>'Data - Monthly'!H6</f>
        <v>0</v>
      </c>
      <c r="I6" s="21">
        <f t="shared" si="0"/>
        <v>0</v>
      </c>
    </row>
    <row r="7" spans="1:9" x14ac:dyDescent="0.25">
      <c r="A7" s="18">
        <f>'Data - Monthly'!A7</f>
        <v>2016</v>
      </c>
      <c r="B7" s="18">
        <f>'Data - Monthly'!B7</f>
        <v>5</v>
      </c>
      <c r="C7" s="18" t="str">
        <f>'Data - Monthly'!C7</f>
        <v>May</v>
      </c>
      <c r="D7" s="18">
        <f>'Data - Monthly'!D7</f>
        <v>0</v>
      </c>
      <c r="E7" s="18">
        <f>'Data - Monthly'!E7</f>
        <v>0</v>
      </c>
      <c r="F7" s="19">
        <f>'Data - Monthly'!F7</f>
        <v>0</v>
      </c>
      <c r="G7" s="19">
        <f>'Data - Monthly'!G7</f>
        <v>0</v>
      </c>
      <c r="H7" s="19">
        <f>'Data - Monthly'!H7</f>
        <v>0</v>
      </c>
      <c r="I7" s="19">
        <f t="shared" si="0"/>
        <v>0</v>
      </c>
    </row>
    <row r="8" spans="1:9" x14ac:dyDescent="0.25">
      <c r="A8" s="20">
        <f>'Data - Monthly'!A8</f>
        <v>2016</v>
      </c>
      <c r="B8" s="20">
        <f>'Data - Monthly'!B8</f>
        <v>6</v>
      </c>
      <c r="C8" s="20" t="str">
        <f>'Data - Monthly'!C8</f>
        <v>Jun</v>
      </c>
      <c r="D8" s="20">
        <f>'Data - Monthly'!D8</f>
        <v>0</v>
      </c>
      <c r="E8" s="20">
        <f>'Data - Monthly'!E8</f>
        <v>0</v>
      </c>
      <c r="F8" s="21">
        <f>'Data - Monthly'!F8</f>
        <v>0</v>
      </c>
      <c r="G8" s="21">
        <f>'Data - Monthly'!G8</f>
        <v>0</v>
      </c>
      <c r="H8" s="21">
        <f>'Data - Monthly'!H8</f>
        <v>0</v>
      </c>
      <c r="I8" s="21">
        <f t="shared" si="0"/>
        <v>0</v>
      </c>
    </row>
    <row r="9" spans="1:9" x14ac:dyDescent="0.25">
      <c r="A9" s="18">
        <f>'Data - Monthly'!A9</f>
        <v>2016</v>
      </c>
      <c r="B9" s="18">
        <f>'Data - Monthly'!B9</f>
        <v>7</v>
      </c>
      <c r="C9" s="18" t="str">
        <f>'Data - Monthly'!C9</f>
        <v>Jul</v>
      </c>
      <c r="D9" s="18">
        <f>'Data - Monthly'!D9</f>
        <v>0</v>
      </c>
      <c r="E9" s="18">
        <f>'Data - Monthly'!E9</f>
        <v>0</v>
      </c>
      <c r="F9" s="19">
        <f>'Data - Monthly'!F9</f>
        <v>0</v>
      </c>
      <c r="G9" s="19">
        <f>'Data - Monthly'!G9</f>
        <v>0</v>
      </c>
      <c r="H9" s="19">
        <f>'Data - Monthly'!H9</f>
        <v>0</v>
      </c>
      <c r="I9" s="19">
        <f t="shared" si="0"/>
        <v>0</v>
      </c>
    </row>
    <row r="10" spans="1:9" x14ac:dyDescent="0.25">
      <c r="A10" s="20">
        <f>'Data - Monthly'!A10</f>
        <v>2016</v>
      </c>
      <c r="B10" s="20">
        <f>'Data - Monthly'!B10</f>
        <v>8</v>
      </c>
      <c r="C10" s="20" t="str">
        <f>'Data - Monthly'!C10</f>
        <v>Aug</v>
      </c>
      <c r="D10" s="20">
        <f>'Data - Monthly'!D10</f>
        <v>0</v>
      </c>
      <c r="E10" s="20">
        <f>'Data - Monthly'!E10</f>
        <v>0</v>
      </c>
      <c r="F10" s="21">
        <f>'Data - Monthly'!F10</f>
        <v>0</v>
      </c>
      <c r="G10" s="21">
        <f>'Data - Monthly'!G10</f>
        <v>0</v>
      </c>
      <c r="H10" s="21">
        <f>'Data - Monthly'!H10</f>
        <v>0</v>
      </c>
      <c r="I10" s="21">
        <f t="shared" si="0"/>
        <v>0</v>
      </c>
    </row>
    <row r="11" spans="1:9" x14ac:dyDescent="0.25">
      <c r="A11" s="18">
        <f>'Data - Monthly'!A11</f>
        <v>2016</v>
      </c>
      <c r="B11" s="18">
        <f>'Data - Monthly'!B11</f>
        <v>9</v>
      </c>
      <c r="C11" s="18" t="str">
        <f>'Data - Monthly'!C11</f>
        <v>Sep</v>
      </c>
      <c r="D11" s="18">
        <f>'Data - Monthly'!D11</f>
        <v>1</v>
      </c>
      <c r="E11" s="18">
        <f>'Data - Monthly'!E11</f>
        <v>3</v>
      </c>
      <c r="F11" s="19">
        <f>'Data - Monthly'!F11</f>
        <v>134.97</v>
      </c>
      <c r="G11" s="19">
        <f>'Data - Monthly'!G11</f>
        <v>8.49</v>
      </c>
      <c r="H11" s="19">
        <f>'Data - Monthly'!H11</f>
        <v>143.46</v>
      </c>
      <c r="I11" s="19">
        <f t="shared" si="0"/>
        <v>143.46</v>
      </c>
    </row>
    <row r="12" spans="1:9" x14ac:dyDescent="0.25">
      <c r="A12" s="20">
        <f>'Data - Monthly'!A12</f>
        <v>2016</v>
      </c>
      <c r="B12" s="20">
        <f>'Data - Monthly'!B12</f>
        <v>10</v>
      </c>
      <c r="C12" s="20" t="str">
        <f>'Data - Monthly'!C12</f>
        <v>Oct</v>
      </c>
      <c r="D12" s="20">
        <f>'Data - Monthly'!D12</f>
        <v>265</v>
      </c>
      <c r="E12" s="20">
        <f>'Data - Monthly'!E12</f>
        <v>313</v>
      </c>
      <c r="F12" s="21">
        <f>'Data - Monthly'!F12</f>
        <v>40325.11</v>
      </c>
      <c r="G12" s="21">
        <f>'Data - Monthly'!G12</f>
        <v>6165.55</v>
      </c>
      <c r="H12" s="21">
        <f>'Data - Monthly'!H12</f>
        <v>46490.66</v>
      </c>
      <c r="I12" s="21">
        <f t="shared" si="0"/>
        <v>175.4364528301887</v>
      </c>
    </row>
    <row r="13" spans="1:9" x14ac:dyDescent="0.25">
      <c r="A13" s="18">
        <f>'Data - Monthly'!A13</f>
        <v>2016</v>
      </c>
      <c r="B13" s="18">
        <f>'Data - Monthly'!B13</f>
        <v>11</v>
      </c>
      <c r="C13" s="18" t="str">
        <f>'Data - Monthly'!C13</f>
        <v>Nov</v>
      </c>
      <c r="D13" s="18">
        <f>'Data - Monthly'!D13</f>
        <v>0</v>
      </c>
      <c r="E13" s="18">
        <f>'Data - Monthly'!E13</f>
        <v>0</v>
      </c>
      <c r="F13" s="19">
        <f>'Data - Monthly'!F13</f>
        <v>0</v>
      </c>
      <c r="G13" s="19">
        <f>'Data - Monthly'!G13</f>
        <v>0</v>
      </c>
      <c r="H13" s="19">
        <f>'Data - Monthly'!H13</f>
        <v>0</v>
      </c>
      <c r="I13" s="19">
        <f t="shared" si="0"/>
        <v>0</v>
      </c>
    </row>
    <row r="14" spans="1:9" x14ac:dyDescent="0.25">
      <c r="A14" s="20">
        <f>'Data - Monthly'!A14</f>
        <v>2016</v>
      </c>
      <c r="B14" s="20">
        <f>'Data - Monthly'!B14</f>
        <v>12</v>
      </c>
      <c r="C14" s="20" t="str">
        <f>'Data - Monthly'!C14</f>
        <v>Dec</v>
      </c>
      <c r="D14" s="20">
        <f>'Data - Monthly'!D14</f>
        <v>1</v>
      </c>
      <c r="E14" s="20">
        <f>'Data - Monthly'!E14</f>
        <v>1</v>
      </c>
      <c r="F14" s="21">
        <f>'Data - Monthly'!F14</f>
        <v>10.9</v>
      </c>
      <c r="G14" s="21">
        <f>'Data - Monthly'!G14</f>
        <v>8.7200000000000006</v>
      </c>
      <c r="H14" s="21">
        <f>'Data - Monthly'!H14</f>
        <v>19.62</v>
      </c>
      <c r="I14" s="21">
        <f t="shared" si="0"/>
        <v>19.62</v>
      </c>
    </row>
    <row r="15" spans="1:9" x14ac:dyDescent="0.25">
      <c r="A15" s="18">
        <f>'Data - Monthly'!A15</f>
        <v>2017</v>
      </c>
      <c r="B15" s="18">
        <f>'Data - Monthly'!B15</f>
        <v>1</v>
      </c>
      <c r="C15" s="18" t="str">
        <f>'Data - Monthly'!C15</f>
        <v>Jan</v>
      </c>
      <c r="D15" s="18">
        <f>'Data - Monthly'!D15</f>
        <v>750</v>
      </c>
      <c r="E15" s="18">
        <f>'Data - Monthly'!E15</f>
        <v>913</v>
      </c>
      <c r="F15" s="19">
        <f>'Data - Monthly'!F15</f>
        <v>111798.36</v>
      </c>
      <c r="G15" s="19">
        <f>'Data - Monthly'!G15</f>
        <v>15684.01</v>
      </c>
      <c r="H15" s="19">
        <f>'Data - Monthly'!H15</f>
        <v>127482.37</v>
      </c>
      <c r="I15" s="19">
        <f t="shared" si="0"/>
        <v>169.97649333333334</v>
      </c>
    </row>
    <row r="16" spans="1:9" x14ac:dyDescent="0.25">
      <c r="A16" s="20">
        <f>'Data - Monthly'!A16</f>
        <v>2017</v>
      </c>
      <c r="B16" s="20">
        <f>'Data - Monthly'!B16</f>
        <v>2</v>
      </c>
      <c r="C16" s="20" t="str">
        <f>'Data - Monthly'!C16</f>
        <v>Feb</v>
      </c>
      <c r="D16" s="20">
        <f>'Data - Monthly'!D16</f>
        <v>1653</v>
      </c>
      <c r="E16" s="20">
        <f>'Data - Monthly'!E16</f>
        <v>1858</v>
      </c>
      <c r="F16" s="21">
        <f>'Data - Monthly'!F16</f>
        <v>234223.4</v>
      </c>
      <c r="G16" s="21">
        <f>'Data - Monthly'!G16</f>
        <v>37015.919999999998</v>
      </c>
      <c r="H16" s="21">
        <f>'Data - Monthly'!H16</f>
        <v>271239.32</v>
      </c>
      <c r="I16" s="21">
        <f t="shared" si="0"/>
        <v>164.08912280701756</v>
      </c>
    </row>
    <row r="17" spans="1:9" x14ac:dyDescent="0.25">
      <c r="A17" s="18">
        <f>'Data - Monthly'!A17</f>
        <v>2017</v>
      </c>
      <c r="B17" s="18">
        <f>'Data - Monthly'!B17</f>
        <v>3</v>
      </c>
      <c r="C17" s="18" t="str">
        <f>'Data - Monthly'!C17</f>
        <v>Mar</v>
      </c>
      <c r="D17" s="18">
        <f>'Data - Monthly'!D17</f>
        <v>2546</v>
      </c>
      <c r="E17" s="18">
        <f>'Data - Monthly'!E17</f>
        <v>2897</v>
      </c>
      <c r="F17" s="19">
        <f>'Data - Monthly'!F17</f>
        <v>359198.85</v>
      </c>
      <c r="G17" s="19">
        <f>'Data - Monthly'!G17</f>
        <v>55132.1</v>
      </c>
      <c r="H17" s="19">
        <f>'Data - Monthly'!H17</f>
        <v>414330.95</v>
      </c>
      <c r="I17" s="19">
        <f t="shared" si="0"/>
        <v>162.73800078554595</v>
      </c>
    </row>
    <row r="18" spans="1:9" x14ac:dyDescent="0.25">
      <c r="A18" s="20">
        <f>'Data - Monthly'!A18</f>
        <v>2017</v>
      </c>
      <c r="B18" s="20">
        <f>'Data - Monthly'!B18</f>
        <v>4</v>
      </c>
      <c r="C18" s="20" t="str">
        <f>'Data - Monthly'!C18</f>
        <v>Apr</v>
      </c>
      <c r="D18" s="20">
        <f>'Data - Monthly'!D18</f>
        <v>2303</v>
      </c>
      <c r="E18" s="20">
        <f>'Data - Monthly'!E18</f>
        <v>2569</v>
      </c>
      <c r="F18" s="21">
        <f>'Data - Monthly'!F18</f>
        <v>340669.68</v>
      </c>
      <c r="G18" s="21">
        <f>'Data - Monthly'!G18</f>
        <v>50142.720000000001</v>
      </c>
      <c r="H18" s="21">
        <f>'Data - Monthly'!H18</f>
        <v>390812.4</v>
      </c>
      <c r="I18" s="21">
        <f t="shared" si="0"/>
        <v>169.69709075119411</v>
      </c>
    </row>
    <row r="19" spans="1:9" x14ac:dyDescent="0.25">
      <c r="A19" s="18">
        <f>'Data - Monthly'!A19</f>
        <v>2017</v>
      </c>
      <c r="B19" s="18">
        <f>'Data - Monthly'!B19</f>
        <v>5</v>
      </c>
      <c r="C19" s="18" t="str">
        <f>'Data - Monthly'!C19</f>
        <v>May</v>
      </c>
      <c r="D19" s="18">
        <f>'Data - Monthly'!D19</f>
        <v>3546</v>
      </c>
      <c r="E19" s="18">
        <f>'Data - Monthly'!E19</f>
        <v>4004</v>
      </c>
      <c r="F19" s="19">
        <f>'Data - Monthly'!F19</f>
        <v>489338.25</v>
      </c>
      <c r="G19" s="19">
        <f>'Data - Monthly'!G19</f>
        <v>77513.149999999994</v>
      </c>
      <c r="H19" s="19">
        <f>'Data - Monthly'!H19</f>
        <v>566851.4</v>
      </c>
      <c r="I19" s="19">
        <f t="shared" si="0"/>
        <v>159.85657078398197</v>
      </c>
    </row>
    <row r="20" spans="1:9" x14ac:dyDescent="0.25">
      <c r="A20" s="20">
        <f>'Data - Monthly'!A20</f>
        <v>2017</v>
      </c>
      <c r="B20" s="20">
        <f>'Data - Monthly'!B20</f>
        <v>6</v>
      </c>
      <c r="C20" s="20" t="str">
        <f>'Data - Monthly'!C20</f>
        <v>Jun</v>
      </c>
      <c r="D20" s="20">
        <f>'Data - Monthly'!D20</f>
        <v>3135</v>
      </c>
      <c r="E20" s="20">
        <f>'Data - Monthly'!E20</f>
        <v>3489</v>
      </c>
      <c r="F20" s="21">
        <f>'Data - Monthly'!F20</f>
        <v>421923.37</v>
      </c>
      <c r="G20" s="21">
        <f>'Data - Monthly'!G20</f>
        <v>68127</v>
      </c>
      <c r="H20" s="21">
        <f>'Data - Monthly'!H20</f>
        <v>490050.37</v>
      </c>
      <c r="I20" s="21">
        <f t="shared" si="0"/>
        <v>156.31590749601276</v>
      </c>
    </row>
    <row r="21" spans="1:9" x14ac:dyDescent="0.25">
      <c r="A21" s="18">
        <f>'Data - Monthly'!A21</f>
        <v>2017</v>
      </c>
      <c r="B21" s="18">
        <f>'Data - Monthly'!B21</f>
        <v>7</v>
      </c>
      <c r="C21" s="18" t="str">
        <f>'Data - Monthly'!C21</f>
        <v>Jul</v>
      </c>
      <c r="D21" s="18">
        <f>'Data - Monthly'!D21</f>
        <v>3872</v>
      </c>
      <c r="E21" s="18">
        <f>'Data - Monthly'!E21</f>
        <v>4416</v>
      </c>
      <c r="F21" s="19">
        <f>'Data - Monthly'!F21</f>
        <v>481604.52</v>
      </c>
      <c r="G21" s="19">
        <f>'Data - Monthly'!G21</f>
        <v>84694.56</v>
      </c>
      <c r="H21" s="19">
        <f>'Data - Monthly'!H21</f>
        <v>566299.07999999996</v>
      </c>
      <c r="I21" s="19">
        <f t="shared" si="0"/>
        <v>146.25492768595041</v>
      </c>
    </row>
    <row r="22" spans="1:9" x14ac:dyDescent="0.25">
      <c r="A22" s="20">
        <f>'Data - Monthly'!A22</f>
        <v>2017</v>
      </c>
      <c r="B22" s="20">
        <f>'Data - Monthly'!B22</f>
        <v>8</v>
      </c>
      <c r="C22" s="20" t="str">
        <f>'Data - Monthly'!C22</f>
        <v>Aug</v>
      </c>
      <c r="D22" s="20">
        <f>'Data - Monthly'!D22</f>
        <v>4193</v>
      </c>
      <c r="E22" s="20">
        <f>'Data - Monthly'!E22</f>
        <v>4797</v>
      </c>
      <c r="F22" s="21">
        <f>'Data - Monthly'!F22</f>
        <v>554699.69999999995</v>
      </c>
      <c r="G22" s="21">
        <f>'Data - Monthly'!G22</f>
        <v>91132.66</v>
      </c>
      <c r="H22" s="21">
        <f>'Data - Monthly'!H22</f>
        <v>645832.36</v>
      </c>
      <c r="I22" s="21">
        <f t="shared" si="0"/>
        <v>154.02632005723825</v>
      </c>
    </row>
    <row r="23" spans="1:9" x14ac:dyDescent="0.25">
      <c r="A23" s="18">
        <f>'Data - Monthly'!A23</f>
        <v>2017</v>
      </c>
      <c r="B23" s="18">
        <f>'Data - Monthly'!B23</f>
        <v>9</v>
      </c>
      <c r="C23" s="18" t="str">
        <f>'Data - Monthly'!C23</f>
        <v>Sep</v>
      </c>
      <c r="D23" s="18">
        <f>'Data - Monthly'!D23</f>
        <v>4150</v>
      </c>
      <c r="E23" s="18">
        <f>'Data - Monthly'!E23</f>
        <v>4737</v>
      </c>
      <c r="F23" s="19">
        <f>'Data - Monthly'!F23</f>
        <v>607399.67000000004</v>
      </c>
      <c r="G23" s="19">
        <f>'Data - Monthly'!G23</f>
        <v>93677.82</v>
      </c>
      <c r="H23" s="19">
        <f>'Data - Monthly'!H23</f>
        <v>701077.49</v>
      </c>
      <c r="I23" s="19">
        <f t="shared" si="0"/>
        <v>168.93433493975903</v>
      </c>
    </row>
    <row r="24" spans="1:9" x14ac:dyDescent="0.25">
      <c r="A24" s="20">
        <f>'Data - Monthly'!A24</f>
        <v>2017</v>
      </c>
      <c r="B24" s="20">
        <f>'Data - Monthly'!B24</f>
        <v>10</v>
      </c>
      <c r="C24" s="20" t="str">
        <f>'Data - Monthly'!C24</f>
        <v>Oct</v>
      </c>
      <c r="D24" s="20">
        <f>'Data - Monthly'!D24</f>
        <v>4478</v>
      </c>
      <c r="E24" s="20">
        <f>'Data - Monthly'!E24</f>
        <v>5214</v>
      </c>
      <c r="F24" s="21">
        <f>'Data - Monthly'!F24</f>
        <v>648247.65</v>
      </c>
      <c r="G24" s="21">
        <f>'Data - Monthly'!G24</f>
        <v>102869.36</v>
      </c>
      <c r="H24" s="21">
        <f>'Data - Monthly'!H24</f>
        <v>751117.01</v>
      </c>
      <c r="I24" s="21">
        <f t="shared" si="0"/>
        <v>167.73492853952658</v>
      </c>
    </row>
    <row r="25" spans="1:9" x14ac:dyDescent="0.25">
      <c r="A25" s="18">
        <f>'Data - Monthly'!A25</f>
        <v>2017</v>
      </c>
      <c r="B25" s="18">
        <f>'Data - Monthly'!B25</f>
        <v>11</v>
      </c>
      <c r="C25" s="18" t="str">
        <f>'Data - Monthly'!C25</f>
        <v>Nov</v>
      </c>
      <c r="D25" s="18">
        <f>'Data - Monthly'!D25</f>
        <v>7289</v>
      </c>
      <c r="E25" s="18">
        <f>'Data - Monthly'!E25</f>
        <v>8475</v>
      </c>
      <c r="F25" s="19">
        <f>'Data - Monthly'!F25</f>
        <v>987765.37</v>
      </c>
      <c r="G25" s="19">
        <f>'Data - Monthly'!G25</f>
        <v>165598.82999999999</v>
      </c>
      <c r="H25" s="19">
        <f>'Data - Monthly'!H25</f>
        <v>1153364.2</v>
      </c>
      <c r="I25" s="19">
        <f t="shared" si="0"/>
        <v>158.23352997667718</v>
      </c>
    </row>
    <row r="26" spans="1:9" x14ac:dyDescent="0.25">
      <c r="A26" s="20">
        <f>'Data - Monthly'!A26</f>
        <v>2017</v>
      </c>
      <c r="B26" s="20">
        <f>'Data - Monthly'!B26</f>
        <v>12</v>
      </c>
      <c r="C26" s="20" t="str">
        <f>'Data - Monthly'!C26</f>
        <v>Dec</v>
      </c>
      <c r="D26" s="20">
        <f>'Data - Monthly'!D26</f>
        <v>5513</v>
      </c>
      <c r="E26" s="20">
        <f>'Data - Monthly'!E26</f>
        <v>6187</v>
      </c>
      <c r="F26" s="21">
        <f>'Data - Monthly'!F26</f>
        <v>726033.19</v>
      </c>
      <c r="G26" s="21">
        <f>'Data - Monthly'!G26</f>
        <v>117045.1</v>
      </c>
      <c r="H26" s="21">
        <f>'Data - Monthly'!H26</f>
        <v>843078.29</v>
      </c>
      <c r="I26" s="21">
        <f t="shared" si="0"/>
        <v>152.92550154181026</v>
      </c>
    </row>
    <row r="27" spans="1:9" x14ac:dyDescent="0.25">
      <c r="A27" s="18">
        <f>'Data - Monthly'!A27</f>
        <v>2018</v>
      </c>
      <c r="B27" s="18">
        <f>'Data - Monthly'!B27</f>
        <v>1</v>
      </c>
      <c r="C27" s="18" t="str">
        <f>'Data - Monthly'!C27</f>
        <v>Jan</v>
      </c>
      <c r="D27" s="18">
        <f>'Data - Monthly'!D27</f>
        <v>7069</v>
      </c>
      <c r="E27" s="18">
        <f>'Data - Monthly'!E27</f>
        <v>8037</v>
      </c>
      <c r="F27" s="19">
        <f>'Data - Monthly'!F27</f>
        <v>924645</v>
      </c>
      <c r="G27" s="19">
        <f>'Data - Monthly'!G27</f>
        <v>153242.46</v>
      </c>
      <c r="H27" s="19">
        <f>'Data - Monthly'!H27</f>
        <v>1077887.46</v>
      </c>
      <c r="I27" s="19">
        <f t="shared" si="0"/>
        <v>152.48089687367377</v>
      </c>
    </row>
    <row r="28" spans="1:9" x14ac:dyDescent="0.25">
      <c r="A28" s="20">
        <f>'Data - Monthly'!A28</f>
        <v>2018</v>
      </c>
      <c r="B28" s="20">
        <f>'Data - Monthly'!B28</f>
        <v>2</v>
      </c>
      <c r="C28" s="20" t="str">
        <f>'Data - Monthly'!C28</f>
        <v>Feb</v>
      </c>
      <c r="D28" s="20">
        <f>'Data - Monthly'!D28</f>
        <v>6555</v>
      </c>
      <c r="E28" s="20">
        <f>'Data - Monthly'!E28</f>
        <v>7518</v>
      </c>
      <c r="F28" s="21">
        <f>'Data - Monthly'!F28</f>
        <v>826437.13</v>
      </c>
      <c r="G28" s="21">
        <f>'Data - Monthly'!G28</f>
        <v>139731.28</v>
      </c>
      <c r="H28" s="21">
        <f>'Data - Monthly'!H28</f>
        <v>966168.41</v>
      </c>
      <c r="I28" s="21">
        <f t="shared" si="0"/>
        <v>147.39411289092297</v>
      </c>
    </row>
    <row r="29" spans="1:9" x14ac:dyDescent="0.25">
      <c r="A29" s="18">
        <f>'Data - Monthly'!A29</f>
        <v>2018</v>
      </c>
      <c r="B29" s="18">
        <f>'Data - Monthly'!B29</f>
        <v>3</v>
      </c>
      <c r="C29" s="18" t="str">
        <f>'Data - Monthly'!C29</f>
        <v>Mar</v>
      </c>
      <c r="D29" s="18">
        <f>'Data - Monthly'!D29</f>
        <v>7003</v>
      </c>
      <c r="E29" s="18">
        <f>'Data - Monthly'!E29</f>
        <v>8017</v>
      </c>
      <c r="F29" s="19">
        <f>'Data - Monthly'!F29</f>
        <v>953356.25</v>
      </c>
      <c r="G29" s="19">
        <f>'Data - Monthly'!G29</f>
        <v>167241.99</v>
      </c>
      <c r="H29" s="19">
        <f>'Data - Monthly'!H29</f>
        <v>1120598.24</v>
      </c>
      <c r="I29" s="19">
        <f t="shared" si="0"/>
        <v>160.01688419248893</v>
      </c>
    </row>
    <row r="30" spans="1:9" x14ac:dyDescent="0.25">
      <c r="A30" s="20">
        <f>'Data - Monthly'!A30</f>
        <v>2018</v>
      </c>
      <c r="B30" s="20">
        <f>'Data - Monthly'!B30</f>
        <v>4</v>
      </c>
      <c r="C30" s="20" t="str">
        <f>'Data - Monthly'!C30</f>
        <v>Apr</v>
      </c>
      <c r="D30" s="20">
        <f>'Data - Monthly'!D30</f>
        <v>6798</v>
      </c>
      <c r="E30" s="20">
        <f>'Data - Monthly'!E30</f>
        <v>7827</v>
      </c>
      <c r="F30" s="21">
        <f>'Data - Monthly'!F30</f>
        <v>973534.09</v>
      </c>
      <c r="G30" s="21">
        <f>'Data - Monthly'!G30</f>
        <v>159344.84</v>
      </c>
      <c r="H30" s="21">
        <f>'Data - Monthly'!H30</f>
        <v>1132878.93</v>
      </c>
      <c r="I30" s="21">
        <f t="shared" si="0"/>
        <v>166.64885701676963</v>
      </c>
    </row>
    <row r="31" spans="1:9" x14ac:dyDescent="0.25">
      <c r="A31" s="18">
        <f>'Data - Monthly'!A31</f>
        <v>2018</v>
      </c>
      <c r="B31" s="18">
        <f>'Data - Monthly'!B31</f>
        <v>5</v>
      </c>
      <c r="C31" s="18" t="str">
        <f>'Data - Monthly'!C31</f>
        <v>May</v>
      </c>
      <c r="D31" s="18">
        <f>'Data - Monthly'!D31</f>
        <v>6749</v>
      </c>
      <c r="E31" s="18">
        <f>'Data - Monthly'!E31</f>
        <v>7810</v>
      </c>
      <c r="F31" s="19">
        <f>'Data - Monthly'!F31</f>
        <v>977544.69</v>
      </c>
      <c r="G31" s="19">
        <f>'Data - Monthly'!G31</f>
        <v>151229.82999999999</v>
      </c>
      <c r="H31" s="19">
        <f>'Data - Monthly'!H31</f>
        <v>1128774.52</v>
      </c>
      <c r="I31" s="19">
        <f t="shared" si="0"/>
        <v>167.25063268632391</v>
      </c>
    </row>
    <row r="32" spans="1:9" x14ac:dyDescent="0.25">
      <c r="A32" s="20">
        <f>'Data - Monthly'!A32</f>
        <v>2018</v>
      </c>
      <c r="B32" s="20">
        <f>'Data - Monthly'!B32</f>
        <v>6</v>
      </c>
      <c r="C32" s="20" t="str">
        <f>'Data - Monthly'!C32</f>
        <v>Jun</v>
      </c>
      <c r="D32" s="20">
        <f>'Data - Monthly'!D32</f>
        <v>6099</v>
      </c>
      <c r="E32" s="20">
        <f>'Data - Monthly'!E32</f>
        <v>7010</v>
      </c>
      <c r="F32" s="21">
        <f>'Data - Monthly'!F32</f>
        <v>856077.86</v>
      </c>
      <c r="G32" s="21">
        <f>'Data - Monthly'!G32</f>
        <v>155900.43</v>
      </c>
      <c r="H32" s="21">
        <f>'Data - Monthly'!H32</f>
        <v>1011978.29</v>
      </c>
      <c r="I32" s="21">
        <f t="shared" si="0"/>
        <v>165.92528119363831</v>
      </c>
    </row>
    <row r="33" spans="1:9" x14ac:dyDescent="0.25">
      <c r="A33" s="18">
        <f>'Data - Monthly'!A33</f>
        <v>2018</v>
      </c>
      <c r="B33" s="18">
        <f>'Data - Monthly'!B33</f>
        <v>7</v>
      </c>
      <c r="C33" s="18" t="str">
        <f>'Data - Monthly'!C33</f>
        <v>Jul</v>
      </c>
      <c r="D33" s="18">
        <f>'Data - Monthly'!D33</f>
        <v>6159</v>
      </c>
      <c r="E33" s="18">
        <f>'Data - Monthly'!E33</f>
        <v>6963</v>
      </c>
      <c r="F33" s="19">
        <f>'Data - Monthly'!F33</f>
        <v>867953.46</v>
      </c>
      <c r="G33" s="19">
        <f>'Data - Monthly'!G33</f>
        <v>159853.82</v>
      </c>
      <c r="H33" s="19">
        <f>'Data - Monthly'!H33</f>
        <v>1027807.28</v>
      </c>
      <c r="I33" s="19">
        <f t="shared" si="0"/>
        <v>166.87892190290631</v>
      </c>
    </row>
    <row r="34" spans="1:9" x14ac:dyDescent="0.25">
      <c r="A34" s="20">
        <f>'Data - Monthly'!A34</f>
        <v>2018</v>
      </c>
      <c r="B34" s="20">
        <f>'Data - Monthly'!B34</f>
        <v>8</v>
      </c>
      <c r="C34" s="20" t="str">
        <f>'Data - Monthly'!C34</f>
        <v>Aug</v>
      </c>
      <c r="D34" s="20">
        <f>'Data - Monthly'!D34</f>
        <v>6351</v>
      </c>
      <c r="E34" s="20">
        <f>'Data - Monthly'!E34</f>
        <v>7142</v>
      </c>
      <c r="F34" s="21">
        <f>'Data - Monthly'!F34</f>
        <v>838576.64000000001</v>
      </c>
      <c r="G34" s="21">
        <f>'Data - Monthly'!G34</f>
        <v>146915</v>
      </c>
      <c r="H34" s="21">
        <f>'Data - Monthly'!H34</f>
        <v>985491.64</v>
      </c>
      <c r="I34" s="21">
        <f t="shared" si="0"/>
        <v>155.17109746496615</v>
      </c>
    </row>
    <row r="35" spans="1:9" x14ac:dyDescent="0.25">
      <c r="A35" s="18">
        <f>'Data - Monthly'!A35</f>
        <v>2018</v>
      </c>
      <c r="B35" s="18">
        <f>'Data - Monthly'!B35</f>
        <v>9</v>
      </c>
      <c r="C35" s="18" t="str">
        <f>'Data - Monthly'!C35</f>
        <v>Sep</v>
      </c>
      <c r="D35" s="18">
        <f>'Data - Monthly'!D35</f>
        <v>0</v>
      </c>
      <c r="E35" s="18">
        <f>'Data - Monthly'!E35</f>
        <v>0</v>
      </c>
      <c r="F35" s="19">
        <f>'Data - Monthly'!F35</f>
        <v>0</v>
      </c>
      <c r="G35" s="19">
        <f>'Data - Monthly'!G35</f>
        <v>0</v>
      </c>
      <c r="H35" s="19">
        <f>'Data - Monthly'!H35</f>
        <v>0</v>
      </c>
      <c r="I35" s="19">
        <f t="shared" si="0"/>
        <v>0</v>
      </c>
    </row>
    <row r="36" spans="1:9" x14ac:dyDescent="0.25">
      <c r="A36" s="20">
        <f>'Data - Monthly'!A36</f>
        <v>2018</v>
      </c>
      <c r="B36" s="20">
        <f>'Data - Monthly'!B36</f>
        <v>10</v>
      </c>
      <c r="C36" s="20" t="str">
        <f>'Data - Monthly'!C36</f>
        <v>Oct</v>
      </c>
      <c r="D36" s="20">
        <f>'Data - Monthly'!D36</f>
        <v>0</v>
      </c>
      <c r="E36" s="20">
        <f>'Data - Monthly'!E36</f>
        <v>0</v>
      </c>
      <c r="F36" s="21">
        <f>'Data - Monthly'!F36</f>
        <v>0</v>
      </c>
      <c r="G36" s="21">
        <f>'Data - Monthly'!G36</f>
        <v>0</v>
      </c>
      <c r="H36" s="21">
        <f>'Data - Monthly'!H36</f>
        <v>0</v>
      </c>
      <c r="I36" s="21">
        <f t="shared" si="0"/>
        <v>0</v>
      </c>
    </row>
    <row r="37" spans="1:9" x14ac:dyDescent="0.25">
      <c r="A37" s="18">
        <f>'Data - Monthly'!A37</f>
        <v>2018</v>
      </c>
      <c r="B37" s="18">
        <f>'Data - Monthly'!B37</f>
        <v>11</v>
      </c>
      <c r="C37" s="18" t="str">
        <f>'Data - Monthly'!C37</f>
        <v>Nov</v>
      </c>
      <c r="D37" s="18">
        <f>'Data - Monthly'!D37</f>
        <v>0</v>
      </c>
      <c r="E37" s="18">
        <f>'Data - Monthly'!E37</f>
        <v>0</v>
      </c>
      <c r="F37" s="19">
        <f>'Data - Monthly'!F37</f>
        <v>0</v>
      </c>
      <c r="G37" s="19">
        <f>'Data - Monthly'!G37</f>
        <v>0</v>
      </c>
      <c r="H37" s="19">
        <f>'Data - Monthly'!H37</f>
        <v>0</v>
      </c>
      <c r="I37" s="19">
        <f t="shared" si="0"/>
        <v>0</v>
      </c>
    </row>
    <row r="38" spans="1:9" x14ac:dyDescent="0.25">
      <c r="A38" s="20">
        <f>'Data - Monthly'!A38</f>
        <v>2018</v>
      </c>
      <c r="B38" s="20">
        <f>'Data - Monthly'!B38</f>
        <v>12</v>
      </c>
      <c r="C38" s="20" t="str">
        <f>'Data - Monthly'!C38</f>
        <v>Dec</v>
      </c>
      <c r="D38" s="20">
        <f>'Data - Monthly'!D38</f>
        <v>0</v>
      </c>
      <c r="E38" s="20">
        <f>'Data - Monthly'!E38</f>
        <v>0</v>
      </c>
      <c r="F38" s="21">
        <f>'Data - Monthly'!F38</f>
        <v>0</v>
      </c>
      <c r="G38" s="21">
        <f>'Data - Monthly'!G38</f>
        <v>0</v>
      </c>
      <c r="H38" s="21">
        <f>'Data - Monthly'!H38</f>
        <v>0</v>
      </c>
      <c r="I38" s="21">
        <f t="shared" si="0"/>
        <v>0</v>
      </c>
    </row>
    <row r="39" spans="1:9" x14ac:dyDescent="0.25">
      <c r="A39" s="8" t="s">
        <v>12</v>
      </c>
      <c r="B39" s="8" t="s">
        <v>13</v>
      </c>
      <c r="C39" s="8" t="s">
        <v>13</v>
      </c>
      <c r="D39" s="8">
        <f>SUM(D3:D38)</f>
        <v>96478</v>
      </c>
      <c r="E39" s="8">
        <f>SUM(E3:E38)</f>
        <v>110197</v>
      </c>
      <c r="F39" s="17">
        <f>SUM(F3:F38)</f>
        <v>13221498.109999999</v>
      </c>
      <c r="G39" s="17">
        <f>SUM(G3:G38)</f>
        <v>2198275.64</v>
      </c>
      <c r="H39" s="17">
        <f>SUM(H3:H38)</f>
        <v>15419773.749999998</v>
      </c>
      <c r="I39" s="17">
        <f t="shared" si="0"/>
        <v>159.82683876116832</v>
      </c>
    </row>
    <row r="41" spans="1:9" ht="15" customHeight="1" x14ac:dyDescent="0.25">
      <c r="A41" s="5" t="s">
        <v>188</v>
      </c>
      <c r="B41" s="5"/>
      <c r="C41" s="5"/>
      <c r="D41" s="5"/>
      <c r="E41" s="5"/>
      <c r="F41" s="5"/>
      <c r="G41" s="5"/>
      <c r="H41" s="5"/>
      <c r="I41" s="5"/>
    </row>
    <row r="42" spans="1:9" ht="38.25" x14ac:dyDescent="0.25">
      <c r="A42" s="8" t="s">
        <v>1</v>
      </c>
      <c r="B42" s="8" t="s">
        <v>182</v>
      </c>
      <c r="C42" s="8" t="s">
        <v>186</v>
      </c>
      <c r="D42" s="8" t="s">
        <v>189</v>
      </c>
      <c r="E42" s="8" t="s">
        <v>190</v>
      </c>
    </row>
    <row r="43" spans="1:9" x14ac:dyDescent="0.25">
      <c r="A43" s="18">
        <v>2016</v>
      </c>
      <c r="B43" s="18">
        <f>SUMIF(A3:A38,2016,D3:D38)</f>
        <v>267</v>
      </c>
      <c r="C43" s="19">
        <f>SUMIF(A3:A38,2016,H3:H38)</f>
        <v>46653.740000000005</v>
      </c>
      <c r="D43" s="18" t="s">
        <v>13</v>
      </c>
      <c r="E43" s="18" t="s">
        <v>13</v>
      </c>
    </row>
    <row r="44" spans="1:9" x14ac:dyDescent="0.25">
      <c r="A44" s="20">
        <v>2017</v>
      </c>
      <c r="B44" s="20">
        <f>SUMIF(A3:A38,2017,D3:D38)</f>
        <v>43428</v>
      </c>
      <c r="C44" s="21">
        <f>SUMIF(A3:A38,2017,H3:H38)</f>
        <v>6921535.2400000002</v>
      </c>
      <c r="D44" s="22">
        <f>IF(B43=0,0,(B44-B43)/B43)</f>
        <v>161.65168539325842</v>
      </c>
      <c r="E44" s="22">
        <f>IF(C43=0,0,(C44-C43)/C43)</f>
        <v>147.35970792480944</v>
      </c>
    </row>
    <row r="45" spans="1:9" x14ac:dyDescent="0.25">
      <c r="A45" s="18">
        <v>2018</v>
      </c>
      <c r="B45" s="18">
        <f>SUMIF(A3:A38,2018,D3:D38)</f>
        <v>52783</v>
      </c>
      <c r="C45" s="19">
        <f>SUMIF(A3:A38,2018,H3:H38)</f>
        <v>8451584.7700000014</v>
      </c>
      <c r="D45" s="23">
        <f>IF(B44=0,0,(B45-B44)/B44)</f>
        <v>0.21541401860550796</v>
      </c>
      <c r="E45" s="23">
        <f>IF(C44=0,0,(C45-C44)/C44)</f>
        <v>0.22105638083842236</v>
      </c>
    </row>
  </sheetData>
  <mergeCells count="2">
    <mergeCell ref="A1:I1"/>
    <mergeCell ref="A41:I4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showGridLines="0" zoomScaleNormal="100" workbookViewId="0">
      <selection activeCell="D95" sqref="D95"/>
    </sheetView>
  </sheetViews>
  <sheetFormatPr defaultColWidth="8.7109375" defaultRowHeight="15" x14ac:dyDescent="0.25"/>
  <cols>
    <col min="1" max="1" width="8" customWidth="1"/>
    <col min="2" max="3" width="28" customWidth="1"/>
    <col min="4" max="5" width="12" customWidth="1"/>
    <col min="6" max="6" width="18" customWidth="1"/>
    <col min="7" max="7" width="20" customWidth="1"/>
    <col min="8" max="8" width="18" customWidth="1"/>
  </cols>
  <sheetData>
    <row r="1" spans="1:8" ht="27.75" customHeight="1" x14ac:dyDescent="0.25">
      <c r="A1" s="1" t="s">
        <v>197</v>
      </c>
      <c r="B1" s="1"/>
      <c r="C1" s="1"/>
      <c r="D1" s="1"/>
      <c r="E1" s="1"/>
      <c r="F1" s="1"/>
      <c r="G1" s="1"/>
      <c r="H1" s="1"/>
    </row>
    <row r="2" spans="1:8" ht="25.5" x14ac:dyDescent="0.25">
      <c r="A2" s="8" t="s">
        <v>8</v>
      </c>
      <c r="B2" s="8" t="s">
        <v>34</v>
      </c>
      <c r="C2" s="8" t="s">
        <v>35</v>
      </c>
      <c r="D2" s="8" t="s">
        <v>3</v>
      </c>
      <c r="E2" s="8" t="s">
        <v>183</v>
      </c>
      <c r="F2" s="8" t="s">
        <v>10</v>
      </c>
      <c r="G2" s="8" t="s">
        <v>36</v>
      </c>
      <c r="H2" s="8" t="s">
        <v>191</v>
      </c>
    </row>
    <row r="3" spans="1:8" x14ac:dyDescent="0.25">
      <c r="A3" s="18">
        <f>'Data - Category'!A3</f>
        <v>1</v>
      </c>
      <c r="B3" s="24" t="str">
        <f>'Data - Category'!B3</f>
        <v>Health Beauty</v>
      </c>
      <c r="C3" s="18" t="str">
        <f>'Data - Category'!C3</f>
        <v>beleza_saude</v>
      </c>
      <c r="D3" s="18">
        <f>'Data - Category'!D3</f>
        <v>8647</v>
      </c>
      <c r="E3" s="18">
        <f>'Data - Category'!E3</f>
        <v>9465</v>
      </c>
      <c r="F3" s="19">
        <f>'Data - Category'!F3</f>
        <v>1412089.53</v>
      </c>
      <c r="G3" s="19">
        <f t="shared" ref="G3:G34" si="0">IF(E3=0,0,F3/E3)</f>
        <v>149.1906529318542</v>
      </c>
      <c r="H3" s="23">
        <f t="shared" ref="H3:H34" si="1">IF(F$76=0,0,F3/F$76)</f>
        <v>9.1576540155136887E-2</v>
      </c>
    </row>
    <row r="4" spans="1:8" x14ac:dyDescent="0.25">
      <c r="A4" s="20">
        <f>'Data - Category'!A4</f>
        <v>2</v>
      </c>
      <c r="B4" s="25" t="str">
        <f>'Data - Category'!B4</f>
        <v>Watches Gifts</v>
      </c>
      <c r="C4" s="20" t="str">
        <f>'Data - Category'!C4</f>
        <v>relogios_presentes</v>
      </c>
      <c r="D4" s="20">
        <f>'Data - Category'!D4</f>
        <v>5495</v>
      </c>
      <c r="E4" s="20">
        <f>'Data - Category'!E4</f>
        <v>5859</v>
      </c>
      <c r="F4" s="21">
        <f>'Data - Category'!F4</f>
        <v>1264333.1200000001</v>
      </c>
      <c r="G4" s="21">
        <f t="shared" si="0"/>
        <v>215.79332991978154</v>
      </c>
      <c r="H4" s="22">
        <f t="shared" si="1"/>
        <v>8.1994271803112598E-2</v>
      </c>
    </row>
    <row r="5" spans="1:8" x14ac:dyDescent="0.25">
      <c r="A5" s="18">
        <f>'Data - Category'!A5</f>
        <v>3</v>
      </c>
      <c r="B5" s="24" t="str">
        <f>'Data - Category'!B5</f>
        <v>Bed Bath Table</v>
      </c>
      <c r="C5" s="18" t="str">
        <f>'Data - Category'!C5</f>
        <v>cama_mesa_banho</v>
      </c>
      <c r="D5" s="18">
        <f>'Data - Category'!D5</f>
        <v>9272</v>
      </c>
      <c r="E5" s="18">
        <f>'Data - Category'!E5</f>
        <v>10953</v>
      </c>
      <c r="F5" s="19">
        <f>'Data - Category'!F5</f>
        <v>1225209.26</v>
      </c>
      <c r="G5" s="19">
        <f t="shared" si="0"/>
        <v>111.86060987857208</v>
      </c>
      <c r="H5" s="23">
        <f t="shared" si="1"/>
        <v>7.945701927046761E-2</v>
      </c>
    </row>
    <row r="6" spans="1:8" x14ac:dyDescent="0.25">
      <c r="A6" s="20">
        <f>'Data - Category'!A6</f>
        <v>4</v>
      </c>
      <c r="B6" s="25" t="str">
        <f>'Data - Category'!B6</f>
        <v>Sports Leisure</v>
      </c>
      <c r="C6" s="20" t="str">
        <f>'Data - Category'!C6</f>
        <v>esporte_lazer</v>
      </c>
      <c r="D6" s="20">
        <f>'Data - Category'!D6</f>
        <v>7530</v>
      </c>
      <c r="E6" s="20">
        <f>'Data - Category'!E6</f>
        <v>8431</v>
      </c>
      <c r="F6" s="21">
        <f>'Data - Category'!F6</f>
        <v>1118256.9099999999</v>
      </c>
      <c r="G6" s="21">
        <f t="shared" si="0"/>
        <v>132.63633139603843</v>
      </c>
      <c r="H6" s="22">
        <f t="shared" si="1"/>
        <v>7.2520967436373734E-2</v>
      </c>
    </row>
    <row r="7" spans="1:8" x14ac:dyDescent="0.25">
      <c r="A7" s="18">
        <f>'Data - Category'!A7</f>
        <v>5</v>
      </c>
      <c r="B7" s="24" t="str">
        <f>'Data - Category'!B7</f>
        <v>Computers Accessories</v>
      </c>
      <c r="C7" s="18" t="str">
        <f>'Data - Category'!C7</f>
        <v>informatica_acessorios</v>
      </c>
      <c r="D7" s="18">
        <f>'Data - Category'!D7</f>
        <v>6530</v>
      </c>
      <c r="E7" s="18">
        <f>'Data - Category'!E7</f>
        <v>7644</v>
      </c>
      <c r="F7" s="19">
        <f>'Data - Category'!F7</f>
        <v>1032723.77</v>
      </c>
      <c r="G7" s="19">
        <f t="shared" si="0"/>
        <v>135.10253401360544</v>
      </c>
      <c r="H7" s="23">
        <f t="shared" si="1"/>
        <v>6.6973989809675422E-2</v>
      </c>
    </row>
    <row r="8" spans="1:8" x14ac:dyDescent="0.25">
      <c r="A8" s="20">
        <f>'Data - Category'!A8</f>
        <v>6</v>
      </c>
      <c r="B8" s="25" t="str">
        <f>'Data - Category'!B8</f>
        <v>Furniture Decor</v>
      </c>
      <c r="C8" s="20" t="str">
        <f>'Data - Category'!C8</f>
        <v>moveis_decoracao</v>
      </c>
      <c r="D8" s="20">
        <f>'Data - Category'!D8</f>
        <v>6307</v>
      </c>
      <c r="E8" s="20">
        <f>'Data - Category'!E8</f>
        <v>8160</v>
      </c>
      <c r="F8" s="21">
        <f>'Data - Category'!F8</f>
        <v>880329.92</v>
      </c>
      <c r="G8" s="21">
        <f t="shared" si="0"/>
        <v>107.88356862745098</v>
      </c>
      <c r="H8" s="22">
        <f t="shared" si="1"/>
        <v>5.7090975151305345E-2</v>
      </c>
    </row>
    <row r="9" spans="1:8" x14ac:dyDescent="0.25">
      <c r="A9" s="18">
        <f>'Data - Category'!A9</f>
        <v>7</v>
      </c>
      <c r="B9" s="24" t="str">
        <f>'Data - Category'!B9</f>
        <v>Housewares</v>
      </c>
      <c r="C9" s="18" t="str">
        <f>'Data - Category'!C9</f>
        <v>utilidades_domesticas</v>
      </c>
      <c r="D9" s="18">
        <f>'Data - Category'!D9</f>
        <v>5743</v>
      </c>
      <c r="E9" s="18">
        <f>'Data - Category'!E9</f>
        <v>6795</v>
      </c>
      <c r="F9" s="19">
        <f>'Data - Category'!F9</f>
        <v>758392.25</v>
      </c>
      <c r="G9" s="19">
        <f t="shared" si="0"/>
        <v>111.61033848417955</v>
      </c>
      <c r="H9" s="23">
        <f t="shared" si="1"/>
        <v>4.9183098422569294E-2</v>
      </c>
    </row>
    <row r="10" spans="1:8" x14ac:dyDescent="0.25">
      <c r="A10" s="20">
        <f>'Data - Category'!A10</f>
        <v>8</v>
      </c>
      <c r="B10" s="25" t="str">
        <f>'Data - Category'!B10</f>
        <v>Cool Stuff</v>
      </c>
      <c r="C10" s="20" t="str">
        <f>'Data - Category'!C10</f>
        <v>cool_stuff</v>
      </c>
      <c r="D10" s="20">
        <f>'Data - Category'!D10</f>
        <v>3559</v>
      </c>
      <c r="E10" s="20">
        <f>'Data - Category'!E10</f>
        <v>3718</v>
      </c>
      <c r="F10" s="21">
        <f>'Data - Category'!F10</f>
        <v>691680.89</v>
      </c>
      <c r="G10" s="21">
        <f t="shared" si="0"/>
        <v>186.03574233458849</v>
      </c>
      <c r="H10" s="22">
        <f t="shared" si="1"/>
        <v>4.4856747006420915E-2</v>
      </c>
    </row>
    <row r="11" spans="1:8" x14ac:dyDescent="0.25">
      <c r="A11" s="18">
        <f>'Data - Category'!A11</f>
        <v>9</v>
      </c>
      <c r="B11" s="24" t="str">
        <f>'Data - Category'!B11</f>
        <v>Auto</v>
      </c>
      <c r="C11" s="18" t="str">
        <f>'Data - Category'!C11</f>
        <v>automotivo</v>
      </c>
      <c r="D11" s="18">
        <f>'Data - Category'!D11</f>
        <v>3810</v>
      </c>
      <c r="E11" s="18">
        <f>'Data - Category'!E11</f>
        <v>4140</v>
      </c>
      <c r="F11" s="19">
        <f>'Data - Category'!F11</f>
        <v>669454.75</v>
      </c>
      <c r="G11" s="19">
        <f t="shared" si="0"/>
        <v>161.70404589371981</v>
      </c>
      <c r="H11" s="23">
        <f t="shared" si="1"/>
        <v>4.341534194040949E-2</v>
      </c>
    </row>
    <row r="12" spans="1:8" x14ac:dyDescent="0.25">
      <c r="A12" s="20">
        <f>'Data - Category'!A12</f>
        <v>10</v>
      </c>
      <c r="B12" s="25" t="str">
        <f>'Data - Category'!B12</f>
        <v>Garden Tools</v>
      </c>
      <c r="C12" s="20" t="str">
        <f>'Data - Category'!C12</f>
        <v>ferramentas_jardim</v>
      </c>
      <c r="D12" s="20">
        <f>'Data - Category'!D12</f>
        <v>3448</v>
      </c>
      <c r="E12" s="20">
        <f>'Data - Category'!E12</f>
        <v>4268</v>
      </c>
      <c r="F12" s="21">
        <f>'Data - Category'!F12</f>
        <v>567145.68000000005</v>
      </c>
      <c r="G12" s="21">
        <f t="shared" si="0"/>
        <v>132.8832427366448</v>
      </c>
      <c r="H12" s="22">
        <f t="shared" si="1"/>
        <v>3.6780415147141851E-2</v>
      </c>
    </row>
    <row r="13" spans="1:8" x14ac:dyDescent="0.25">
      <c r="A13" s="18">
        <f>'Data - Category'!A13</f>
        <v>11</v>
      </c>
      <c r="B13" s="24" t="str">
        <f>'Data - Category'!B13</f>
        <v>Toys</v>
      </c>
      <c r="C13" s="18" t="str">
        <f>'Data - Category'!C13</f>
        <v>brinquedos</v>
      </c>
      <c r="D13" s="18">
        <f>'Data - Category'!D13</f>
        <v>3804</v>
      </c>
      <c r="E13" s="18">
        <f>'Data - Category'!E13</f>
        <v>4030</v>
      </c>
      <c r="F13" s="19">
        <f>'Data - Category'!F13</f>
        <v>547061.06000000006</v>
      </c>
      <c r="G13" s="19">
        <f t="shared" si="0"/>
        <v>135.74716129032259</v>
      </c>
      <c r="H13" s="23">
        <f t="shared" si="1"/>
        <v>3.5477891496300346E-2</v>
      </c>
    </row>
    <row r="14" spans="1:8" x14ac:dyDescent="0.25">
      <c r="A14" s="20">
        <f>'Data - Category'!A14</f>
        <v>12</v>
      </c>
      <c r="B14" s="25" t="str">
        <f>'Data - Category'!B14</f>
        <v>Baby</v>
      </c>
      <c r="C14" s="20" t="str">
        <f>'Data - Category'!C14</f>
        <v>bebes</v>
      </c>
      <c r="D14" s="20">
        <f>'Data - Category'!D14</f>
        <v>2809</v>
      </c>
      <c r="E14" s="20">
        <f>'Data - Category'!E14</f>
        <v>2982</v>
      </c>
      <c r="F14" s="21">
        <f>'Data - Category'!F14</f>
        <v>466727.65</v>
      </c>
      <c r="G14" s="21">
        <f t="shared" si="0"/>
        <v>156.51497317236755</v>
      </c>
      <c r="H14" s="22">
        <f t="shared" si="1"/>
        <v>3.0268125691532942E-2</v>
      </c>
    </row>
    <row r="15" spans="1:8" x14ac:dyDescent="0.25">
      <c r="A15" s="18">
        <f>'Data - Category'!A15</f>
        <v>13</v>
      </c>
      <c r="B15" s="24" t="str">
        <f>'Data - Category'!B15</f>
        <v>Perfumery</v>
      </c>
      <c r="C15" s="18" t="str">
        <f>'Data - Category'!C15</f>
        <v>perfumaria</v>
      </c>
      <c r="D15" s="18">
        <f>'Data - Category'!D15</f>
        <v>3086</v>
      </c>
      <c r="E15" s="18">
        <f>'Data - Category'!E15</f>
        <v>3340</v>
      </c>
      <c r="F15" s="19">
        <f>'Data - Category'!F15</f>
        <v>443171.63</v>
      </c>
      <c r="G15" s="19">
        <f t="shared" si="0"/>
        <v>132.68611676646708</v>
      </c>
      <c r="H15" s="23">
        <f t="shared" si="1"/>
        <v>2.8740475520920027E-2</v>
      </c>
    </row>
    <row r="16" spans="1:8" x14ac:dyDescent="0.25">
      <c r="A16" s="20">
        <f>'Data - Category'!A16</f>
        <v>14</v>
      </c>
      <c r="B16" s="25" t="str">
        <f>'Data - Category'!B16</f>
        <v>Telephony</v>
      </c>
      <c r="C16" s="20" t="str">
        <f>'Data - Category'!C16</f>
        <v>telefonia</v>
      </c>
      <c r="D16" s="20">
        <f>'Data - Category'!D16</f>
        <v>4093</v>
      </c>
      <c r="E16" s="20">
        <f>'Data - Category'!E16</f>
        <v>4430</v>
      </c>
      <c r="F16" s="21">
        <f>'Data - Category'!F16</f>
        <v>379202.62</v>
      </c>
      <c r="G16" s="21">
        <f t="shared" si="0"/>
        <v>85.598785553047406</v>
      </c>
      <c r="H16" s="22">
        <f t="shared" si="1"/>
        <v>2.4591970423690566E-2</v>
      </c>
    </row>
    <row r="17" spans="1:8" x14ac:dyDescent="0.25">
      <c r="A17" s="18">
        <f>'Data - Category'!A17</f>
        <v>15</v>
      </c>
      <c r="B17" s="24" t="str">
        <f>'Data - Category'!B17</f>
        <v>Office Furniture</v>
      </c>
      <c r="C17" s="18" t="str">
        <f>'Data - Category'!C17</f>
        <v>moveis_escritorio</v>
      </c>
      <c r="D17" s="18">
        <f>'Data - Category'!D17</f>
        <v>1254</v>
      </c>
      <c r="E17" s="18">
        <f>'Data - Category'!E17</f>
        <v>1668</v>
      </c>
      <c r="F17" s="19">
        <f>'Data - Category'!F17</f>
        <v>335211.36</v>
      </c>
      <c r="G17" s="19">
        <f t="shared" si="0"/>
        <v>200.96604316546762</v>
      </c>
      <c r="H17" s="23">
        <f t="shared" si="1"/>
        <v>2.1739058266013803E-2</v>
      </c>
    </row>
    <row r="18" spans="1:8" x14ac:dyDescent="0.25">
      <c r="A18" s="20">
        <f>'Data - Category'!A18</f>
        <v>16</v>
      </c>
      <c r="B18" s="25" t="str">
        <f>'Data - Category'!B18</f>
        <v>Stationery</v>
      </c>
      <c r="C18" s="20" t="str">
        <f>'Data - Category'!C18</f>
        <v>papelaria</v>
      </c>
      <c r="D18" s="20">
        <f>'Data - Category'!D18</f>
        <v>2264</v>
      </c>
      <c r="E18" s="20">
        <f>'Data - Category'!E18</f>
        <v>2466</v>
      </c>
      <c r="F18" s="21">
        <f>'Data - Category'!F18</f>
        <v>269575.05</v>
      </c>
      <c r="G18" s="21">
        <f t="shared" si="0"/>
        <v>109.31672749391727</v>
      </c>
      <c r="H18" s="22">
        <f t="shared" si="1"/>
        <v>1.748242577164922E-2</v>
      </c>
    </row>
    <row r="19" spans="1:8" x14ac:dyDescent="0.25">
      <c r="A19" s="18">
        <f>'Data - Category'!A19</f>
        <v>17</v>
      </c>
      <c r="B19" s="24" t="str">
        <f>'Data - Category'!B19</f>
        <v>Pet Shop</v>
      </c>
      <c r="C19" s="18" t="str">
        <f>'Data - Category'!C19</f>
        <v>pet_shop</v>
      </c>
      <c r="D19" s="18">
        <f>'Data - Category'!D19</f>
        <v>1688</v>
      </c>
      <c r="E19" s="18">
        <f>'Data - Category'!E19</f>
        <v>1924</v>
      </c>
      <c r="F19" s="19">
        <f>'Data - Category'!F19</f>
        <v>250614.2</v>
      </c>
      <c r="G19" s="19">
        <f t="shared" si="0"/>
        <v>130.25686070686072</v>
      </c>
      <c r="H19" s="23">
        <f t="shared" si="1"/>
        <v>1.6252780622024374E-2</v>
      </c>
    </row>
    <row r="20" spans="1:8" x14ac:dyDescent="0.25">
      <c r="A20" s="20">
        <f>'Data - Category'!A20</f>
        <v>18</v>
      </c>
      <c r="B20" s="25" t="str">
        <f>'Data - Category'!B20</f>
        <v>Computers</v>
      </c>
      <c r="C20" s="20" t="str">
        <f>'Data - Category'!C20</f>
        <v>pcs</v>
      </c>
      <c r="D20" s="20">
        <f>'Data - Category'!D20</f>
        <v>177</v>
      </c>
      <c r="E20" s="20">
        <f>'Data - Category'!E20</f>
        <v>199</v>
      </c>
      <c r="F20" s="21">
        <f>'Data - Category'!F20</f>
        <v>228349.76</v>
      </c>
      <c r="G20" s="21">
        <f t="shared" si="0"/>
        <v>1147.486231155779</v>
      </c>
      <c r="H20" s="22">
        <f t="shared" si="1"/>
        <v>1.4808891732279802E-2</v>
      </c>
    </row>
    <row r="21" spans="1:8" ht="25.5" x14ac:dyDescent="0.25">
      <c r="A21" s="18">
        <f>'Data - Category'!A21</f>
        <v>19</v>
      </c>
      <c r="B21" s="24" t="str">
        <f>'Data - Category'!B21</f>
        <v>Other</v>
      </c>
      <c r="C21" s="18" t="str">
        <f>'Data - Category'!C21</f>
        <v>portateis_cozinha_e_preparadores_de_alimentos</v>
      </c>
      <c r="D21" s="18">
        <f>'Data - Category'!D21</f>
        <v>1412</v>
      </c>
      <c r="E21" s="18">
        <f>'Data - Category'!E21</f>
        <v>1559</v>
      </c>
      <c r="F21" s="19">
        <f>'Data - Category'!F21</f>
        <v>203353.84</v>
      </c>
      <c r="G21" s="19">
        <f t="shared" si="0"/>
        <v>130.43864015394485</v>
      </c>
      <c r="H21" s="23">
        <f t="shared" si="1"/>
        <v>1.3187861462623606E-2</v>
      </c>
    </row>
    <row r="22" spans="1:8" x14ac:dyDescent="0.25">
      <c r="A22" s="20">
        <f>'Data - Category'!A22</f>
        <v>20</v>
      </c>
      <c r="B22" s="25" t="str">
        <f>'Data - Category'!B22</f>
        <v>Musical Instruments</v>
      </c>
      <c r="C22" s="20" t="str">
        <f>'Data - Category'!C22</f>
        <v>instrumentos_musicais</v>
      </c>
      <c r="D22" s="20">
        <f>'Data - Category'!D22</f>
        <v>611</v>
      </c>
      <c r="E22" s="20">
        <f>'Data - Category'!E22</f>
        <v>651</v>
      </c>
      <c r="F22" s="21">
        <f>'Data - Category'!F22</f>
        <v>202187.12</v>
      </c>
      <c r="G22" s="21">
        <f t="shared" si="0"/>
        <v>310.57929339477727</v>
      </c>
      <c r="H22" s="22">
        <f t="shared" si="1"/>
        <v>1.3112197576828914E-2</v>
      </c>
    </row>
    <row r="23" spans="1:8" x14ac:dyDescent="0.25">
      <c r="A23" s="18">
        <f>'Data - Category'!A23</f>
        <v>21</v>
      </c>
      <c r="B23" s="24" t="str">
        <f>'Data - Category'!B23</f>
        <v>Electronics</v>
      </c>
      <c r="C23" s="18" t="str">
        <f>'Data - Category'!C23</f>
        <v>eletronicos</v>
      </c>
      <c r="D23" s="18">
        <f>'Data - Category'!D23</f>
        <v>2517</v>
      </c>
      <c r="E23" s="18">
        <f>'Data - Category'!E23</f>
        <v>2729</v>
      </c>
      <c r="F23" s="19">
        <f>'Data - Category'!F23</f>
        <v>200723.09</v>
      </c>
      <c r="G23" s="19">
        <f t="shared" si="0"/>
        <v>73.551883473799919</v>
      </c>
      <c r="H23" s="23">
        <f t="shared" si="1"/>
        <v>1.3017252603981955E-2</v>
      </c>
    </row>
    <row r="24" spans="1:8" x14ac:dyDescent="0.25">
      <c r="A24" s="20">
        <f>'Data - Category'!A24</f>
        <v>22</v>
      </c>
      <c r="B24" s="25" t="str">
        <f>'Data - Category'!B24</f>
        <v>Small Appliances</v>
      </c>
      <c r="C24" s="20" t="str">
        <f>'Data - Category'!C24</f>
        <v>eletroportateis</v>
      </c>
      <c r="D24" s="20">
        <f>'Data - Category'!D24</f>
        <v>609</v>
      </c>
      <c r="E24" s="20">
        <f>'Data - Category'!E24</f>
        <v>658</v>
      </c>
      <c r="F24" s="21">
        <f>'Data - Category'!F24</f>
        <v>198108.47</v>
      </c>
      <c r="G24" s="21">
        <f t="shared" si="0"/>
        <v>301.07670212765959</v>
      </c>
      <c r="H24" s="22">
        <f t="shared" si="1"/>
        <v>1.2847689804787187E-2</v>
      </c>
    </row>
    <row r="25" spans="1:8" x14ac:dyDescent="0.25">
      <c r="A25" s="18">
        <f>'Data - Category'!A25</f>
        <v>23</v>
      </c>
      <c r="B25" s="24" t="str">
        <f>'Data - Category'!B25</f>
        <v>Fashion Bags Accessories</v>
      </c>
      <c r="C25" s="18" t="str">
        <f>'Data - Category'!C25</f>
        <v>fashion_bolsas_e_acessorios</v>
      </c>
      <c r="D25" s="18">
        <f>'Data - Category'!D25</f>
        <v>1820</v>
      </c>
      <c r="E25" s="18">
        <f>'Data - Category'!E25</f>
        <v>1985</v>
      </c>
      <c r="F25" s="19">
        <f>'Data - Category'!F25</f>
        <v>179888.29</v>
      </c>
      <c r="G25" s="19">
        <f t="shared" si="0"/>
        <v>90.623823677581868</v>
      </c>
      <c r="H25" s="23">
        <f t="shared" si="1"/>
        <v>1.1666078433868078E-2</v>
      </c>
    </row>
    <row r="26" spans="1:8" x14ac:dyDescent="0.25">
      <c r="A26" s="20">
        <f>'Data - Category'!A26</f>
        <v>24</v>
      </c>
      <c r="B26" s="25" t="str">
        <f>'Data - Category'!B26</f>
        <v>Luggage Accessories</v>
      </c>
      <c r="C26" s="20" t="str">
        <f>'Data - Category'!C26</f>
        <v>malas_acessorios</v>
      </c>
      <c r="D26" s="20">
        <f>'Data - Category'!D26</f>
        <v>1019</v>
      </c>
      <c r="E26" s="20">
        <f>'Data - Category'!E26</f>
        <v>1077</v>
      </c>
      <c r="F26" s="21">
        <f>'Data - Category'!F26</f>
        <v>168778.12</v>
      </c>
      <c r="G26" s="21">
        <f t="shared" si="0"/>
        <v>156.71134633240482</v>
      </c>
      <c r="H26" s="22">
        <f t="shared" si="1"/>
        <v>1.0945563971066701E-2</v>
      </c>
    </row>
    <row r="27" spans="1:8" x14ac:dyDescent="0.25">
      <c r="A27" s="18">
        <f>'Data - Category'!A27</f>
        <v>25</v>
      </c>
      <c r="B27" s="24" t="str">
        <f>'Data - Category'!B27</f>
        <v>Consoles Games</v>
      </c>
      <c r="C27" s="18" t="str">
        <f>'Data - Category'!C27</f>
        <v>consoles_games</v>
      </c>
      <c r="D27" s="18">
        <f>'Data - Category'!D27</f>
        <v>1018</v>
      </c>
      <c r="E27" s="18">
        <f>'Data - Category'!E27</f>
        <v>1089</v>
      </c>
      <c r="F27" s="19">
        <f>'Data - Category'!F27</f>
        <v>167097.73000000001</v>
      </c>
      <c r="G27" s="19">
        <f t="shared" si="0"/>
        <v>153.44144168962353</v>
      </c>
      <c r="H27" s="23">
        <f t="shared" si="1"/>
        <v>1.0836587663940276E-2</v>
      </c>
    </row>
    <row r="28" spans="1:8" ht="25.5" x14ac:dyDescent="0.25">
      <c r="A28" s="20">
        <f>'Data - Category'!A28</f>
        <v>26</v>
      </c>
      <c r="B28" s="25" t="str">
        <f>'Data - Category'!B28</f>
        <v>Construction Tools Construction</v>
      </c>
      <c r="C28" s="20" t="str">
        <f>'Data - Category'!C28</f>
        <v>construcao_ferramentas_construcao</v>
      </c>
      <c r="D28" s="20">
        <f>'Data - Category'!D28</f>
        <v>736</v>
      </c>
      <c r="E28" s="20">
        <f>'Data - Category'!E28</f>
        <v>916</v>
      </c>
      <c r="F28" s="21">
        <f>'Data - Category'!F28</f>
        <v>162382.01</v>
      </c>
      <c r="G28" s="21">
        <f t="shared" si="0"/>
        <v>177.27293668122272</v>
      </c>
      <c r="H28" s="22">
        <f t="shared" si="1"/>
        <v>1.0530764759113284E-2</v>
      </c>
    </row>
    <row r="29" spans="1:8" x14ac:dyDescent="0.25">
      <c r="A29" s="18">
        <f>'Data - Category'!A29</f>
        <v>27</v>
      </c>
      <c r="B29" s="24" t="str">
        <f>'Data - Category'!B29</f>
        <v>Home Appliances 2</v>
      </c>
      <c r="C29" s="18" t="str">
        <f>'Data - Category'!C29</f>
        <v>eletrodomesticos_2</v>
      </c>
      <c r="D29" s="18">
        <f>'Data - Category'!D29</f>
        <v>227</v>
      </c>
      <c r="E29" s="18">
        <f>'Data - Category'!E29</f>
        <v>231</v>
      </c>
      <c r="F29" s="19">
        <f>'Data - Category'!F29</f>
        <v>118208.52</v>
      </c>
      <c r="G29" s="19">
        <f t="shared" si="0"/>
        <v>511.7251948051948</v>
      </c>
      <c r="H29" s="23">
        <f t="shared" si="1"/>
        <v>7.6660346589067212E-3</v>
      </c>
    </row>
    <row r="30" spans="1:8" x14ac:dyDescent="0.25">
      <c r="A30" s="20">
        <f>'Data - Category'!A30</f>
        <v>28</v>
      </c>
      <c r="B30" s="25" t="str">
        <f>'Data - Category'!B30</f>
        <v>Home Construction</v>
      </c>
      <c r="C30" s="20" t="str">
        <f>'Data - Category'!C30</f>
        <v>casa_construcao</v>
      </c>
      <c r="D30" s="20">
        <f>'Data - Category'!D30</f>
        <v>483</v>
      </c>
      <c r="E30" s="20">
        <f>'Data - Category'!E30</f>
        <v>596</v>
      </c>
      <c r="F30" s="21">
        <f>'Data - Category'!F30</f>
        <v>95022.37</v>
      </c>
      <c r="G30" s="21">
        <f t="shared" si="0"/>
        <v>159.43350671140939</v>
      </c>
      <c r="H30" s="22">
        <f t="shared" si="1"/>
        <v>6.1623712215621868E-3</v>
      </c>
    </row>
    <row r="31" spans="1:8" x14ac:dyDescent="0.25">
      <c r="A31" s="18">
        <f>'Data - Category'!A31</f>
        <v>29</v>
      </c>
      <c r="B31" s="24" t="str">
        <f>'Data - Category'!B31</f>
        <v>Home Appliances</v>
      </c>
      <c r="C31" s="18" t="str">
        <f>'Data - Category'!C31</f>
        <v>eletrodomesticos</v>
      </c>
      <c r="D31" s="18">
        <f>'Data - Category'!D31</f>
        <v>747</v>
      </c>
      <c r="E31" s="18">
        <f>'Data - Category'!E31</f>
        <v>754</v>
      </c>
      <c r="F31" s="19">
        <f>'Data - Category'!F31</f>
        <v>93301.78</v>
      </c>
      <c r="G31" s="19">
        <f t="shared" si="0"/>
        <v>123.74241379310345</v>
      </c>
      <c r="H31" s="23">
        <f t="shared" si="1"/>
        <v>6.0507878722928761E-3</v>
      </c>
    </row>
    <row r="32" spans="1:8" x14ac:dyDescent="0.25">
      <c r="A32" s="20">
        <f>'Data - Category'!A32</f>
        <v>30</v>
      </c>
      <c r="B32" s="25" t="str">
        <f>'Data - Category'!B32</f>
        <v>Furniture Living Room</v>
      </c>
      <c r="C32" s="20" t="str">
        <f>'Data - Category'!C32</f>
        <v>moveis_sala</v>
      </c>
      <c r="D32" s="20">
        <f>'Data - Category'!D32</f>
        <v>414</v>
      </c>
      <c r="E32" s="20">
        <f>'Data - Category'!E32</f>
        <v>495</v>
      </c>
      <c r="F32" s="21">
        <f>'Data - Category'!F32</f>
        <v>85045.07</v>
      </c>
      <c r="G32" s="21">
        <f t="shared" si="0"/>
        <v>171.80822222222224</v>
      </c>
      <c r="H32" s="22">
        <f t="shared" si="1"/>
        <v>5.5153254113083239E-3</v>
      </c>
    </row>
    <row r="33" spans="1:8" x14ac:dyDescent="0.25">
      <c r="A33" s="18">
        <f>'Data - Category'!A33</f>
        <v>31</v>
      </c>
      <c r="B33" s="24" t="str">
        <f>'Data - Category'!B33</f>
        <v>Agro Industry And Commerce</v>
      </c>
      <c r="C33" s="18" t="str">
        <f>'Data - Category'!C33</f>
        <v>agro_industria_e_comercio</v>
      </c>
      <c r="D33" s="18">
        <f>'Data - Category'!D33</f>
        <v>177</v>
      </c>
      <c r="E33" s="18">
        <f>'Data - Category'!E33</f>
        <v>206</v>
      </c>
      <c r="F33" s="19">
        <f>'Data - Category'!F33</f>
        <v>76203.3</v>
      </c>
      <c r="G33" s="19">
        <f t="shared" si="0"/>
        <v>369.91893203883495</v>
      </c>
      <c r="H33" s="23">
        <f t="shared" si="1"/>
        <v>4.9419207593756065E-3</v>
      </c>
    </row>
    <row r="34" spans="1:8" x14ac:dyDescent="0.25">
      <c r="A34" s="20">
        <f>'Data - Category'!A34</f>
        <v>32</v>
      </c>
      <c r="B34" s="25" t="str">
        <f>'Data - Category'!B34</f>
        <v>Home Confort</v>
      </c>
      <c r="C34" s="20" t="str">
        <f>'Data - Category'!C34</f>
        <v>casa_conforto</v>
      </c>
      <c r="D34" s="20">
        <f>'Data - Category'!D34</f>
        <v>392</v>
      </c>
      <c r="E34" s="20">
        <f>'Data - Category'!E34</f>
        <v>429</v>
      </c>
      <c r="F34" s="21">
        <f>'Data - Category'!F34</f>
        <v>66438.22</v>
      </c>
      <c r="G34" s="21">
        <f t="shared" si="0"/>
        <v>154.86764568764568</v>
      </c>
      <c r="H34" s="22">
        <f t="shared" si="1"/>
        <v>4.3086377969715692E-3</v>
      </c>
    </row>
    <row r="35" spans="1:8" x14ac:dyDescent="0.25">
      <c r="A35" s="18">
        <f>'Data - Category'!A35</f>
        <v>33</v>
      </c>
      <c r="B35" s="24" t="str">
        <f>'Data - Category'!B35</f>
        <v>Air Conditioning</v>
      </c>
      <c r="C35" s="18" t="str">
        <f>'Data - Category'!C35</f>
        <v>climatizacao</v>
      </c>
      <c r="D35" s="18">
        <f>'Data - Category'!D35</f>
        <v>246</v>
      </c>
      <c r="E35" s="18">
        <f>'Data - Category'!E35</f>
        <v>289</v>
      </c>
      <c r="F35" s="19">
        <f>'Data - Category'!F35</f>
        <v>59854.55</v>
      </c>
      <c r="G35" s="19">
        <f t="shared" ref="G35:G66" si="2">IF(E35=0,0,F35/E35)</f>
        <v>207.10916955017302</v>
      </c>
      <c r="H35" s="23">
        <f t="shared" ref="H35:H66" si="3">IF(F$76=0,0,F35/F$76)</f>
        <v>3.8816749824231393E-3</v>
      </c>
    </row>
    <row r="36" spans="1:8" x14ac:dyDescent="0.25">
      <c r="A36" s="20">
        <f>'Data - Category'!A36</f>
        <v>34</v>
      </c>
      <c r="B36" s="25" t="str">
        <f>'Data - Category'!B36</f>
        <v>Fixed Telephony</v>
      </c>
      <c r="C36" s="20" t="str">
        <f>'Data - Category'!C36</f>
        <v>telefonia_fixa</v>
      </c>
      <c r="D36" s="20">
        <f>'Data - Category'!D36</f>
        <v>212</v>
      </c>
      <c r="E36" s="20">
        <f>'Data - Category'!E36</f>
        <v>255</v>
      </c>
      <c r="F36" s="21">
        <f>'Data - Category'!F36</f>
        <v>59816.54</v>
      </c>
      <c r="G36" s="21">
        <f t="shared" si="2"/>
        <v>234.57466666666667</v>
      </c>
      <c r="H36" s="22">
        <f t="shared" si="3"/>
        <v>3.8792099657104263E-3</v>
      </c>
    </row>
    <row r="37" spans="1:8" ht="25.5" x14ac:dyDescent="0.25">
      <c r="A37" s="18">
        <f>'Data - Category'!A37</f>
        <v>35</v>
      </c>
      <c r="B37" s="24" t="str">
        <f>'Data - Category'!B37</f>
        <v>Kitchen Dining Laundry Garden Furniture</v>
      </c>
      <c r="C37" s="18" t="str">
        <f>'Data - Category'!C37</f>
        <v>moveis_cozinha_area_de_servico_jantar_e_jardim</v>
      </c>
      <c r="D37" s="18">
        <f>'Data - Category'!D37</f>
        <v>241</v>
      </c>
      <c r="E37" s="18">
        <f>'Data - Category'!E37</f>
        <v>274</v>
      </c>
      <c r="F37" s="19">
        <f>'Data - Category'!F37</f>
        <v>57072.97</v>
      </c>
      <c r="G37" s="19">
        <f t="shared" si="2"/>
        <v>208.2955109489051</v>
      </c>
      <c r="H37" s="23">
        <f t="shared" si="3"/>
        <v>3.7012845276021009E-3</v>
      </c>
    </row>
    <row r="38" spans="1:8" x14ac:dyDescent="0.25">
      <c r="A38" s="20">
        <f>'Data - Category'!A38</f>
        <v>36</v>
      </c>
      <c r="B38" s="25" t="str">
        <f>'Data - Category'!B38</f>
        <v>Audio</v>
      </c>
      <c r="C38" s="20" t="str">
        <f>'Data - Category'!C38</f>
        <v>audio</v>
      </c>
      <c r="D38" s="20">
        <f>'Data - Category'!D38</f>
        <v>348</v>
      </c>
      <c r="E38" s="20">
        <f>'Data - Category'!E38</f>
        <v>362</v>
      </c>
      <c r="F38" s="21">
        <f>'Data - Category'!F38</f>
        <v>56255.32</v>
      </c>
      <c r="G38" s="21">
        <f t="shared" si="2"/>
        <v>155.40143646408839</v>
      </c>
      <c r="H38" s="22">
        <f t="shared" si="3"/>
        <v>3.6482584577481251E-3</v>
      </c>
    </row>
    <row r="39" spans="1:8" x14ac:dyDescent="0.25">
      <c r="A39" s="18">
        <f>'Data - Category'!A39</f>
        <v>37</v>
      </c>
      <c r="B39" s="24" t="str">
        <f>'Data - Category'!B39</f>
        <v>Books General Interest</v>
      </c>
      <c r="C39" s="18" t="str">
        <f>'Data - Category'!C39</f>
        <v>livros_interesse_geral</v>
      </c>
      <c r="D39" s="18">
        <f>'Data - Category'!D39</f>
        <v>496</v>
      </c>
      <c r="E39" s="18">
        <f>'Data - Category'!E39</f>
        <v>537</v>
      </c>
      <c r="F39" s="19">
        <f>'Data - Category'!F39</f>
        <v>54182.54</v>
      </c>
      <c r="G39" s="19">
        <f t="shared" si="2"/>
        <v>100.89858472998138</v>
      </c>
      <c r="H39" s="23">
        <f t="shared" si="3"/>
        <v>3.5138349549389482E-3</v>
      </c>
    </row>
    <row r="40" spans="1:8" x14ac:dyDescent="0.25">
      <c r="A40" s="20">
        <f>'Data - Category'!A40</f>
        <v>38</v>
      </c>
      <c r="B40" s="25" t="str">
        <f>'Data - Category'!B40</f>
        <v>Small Appliances Home Oven And Coffee</v>
      </c>
      <c r="C40" s="20" t="str">
        <f>'Data - Category'!C40</f>
        <v>portateis_casa_forno_e_cafe</v>
      </c>
      <c r="D40" s="20">
        <f>'Data - Category'!D40</f>
        <v>72</v>
      </c>
      <c r="E40" s="20">
        <f>'Data - Category'!E40</f>
        <v>73</v>
      </c>
      <c r="F40" s="21">
        <f>'Data - Category'!F40</f>
        <v>49245.9</v>
      </c>
      <c r="G40" s="21">
        <f t="shared" si="2"/>
        <v>674.6013698630137</v>
      </c>
      <c r="H40" s="22">
        <f t="shared" si="3"/>
        <v>3.193684991649117E-3</v>
      </c>
    </row>
    <row r="41" spans="1:8" ht="25.5" x14ac:dyDescent="0.25">
      <c r="A41" s="18">
        <f>'Data - Category'!A41</f>
        <v>39</v>
      </c>
      <c r="B41" s="24" t="str">
        <f>'Data - Category'!B41</f>
        <v>Construction Tools Lights</v>
      </c>
      <c r="C41" s="18" t="str">
        <f>'Data - Category'!C41</f>
        <v>construcao_ferramentas_iluminacao</v>
      </c>
      <c r="D41" s="18">
        <f>'Data - Category'!D41</f>
        <v>242</v>
      </c>
      <c r="E41" s="18">
        <f>'Data - Category'!E41</f>
        <v>301</v>
      </c>
      <c r="F41" s="19">
        <f>'Data - Category'!F41</f>
        <v>47447.14</v>
      </c>
      <c r="G41" s="19">
        <f t="shared" si="2"/>
        <v>157.63169435215946</v>
      </c>
      <c r="H41" s="23">
        <f t="shared" si="3"/>
        <v>3.0770321775959925E-3</v>
      </c>
    </row>
    <row r="42" spans="1:8" x14ac:dyDescent="0.25">
      <c r="A42" s="20">
        <f>'Data - Category'!A42</f>
        <v>40</v>
      </c>
      <c r="B42" s="25" t="str">
        <f>'Data - Category'!B42</f>
        <v>Industry Commerce And Business</v>
      </c>
      <c r="C42" s="20" t="str">
        <f>'Data - Category'!C42</f>
        <v>industria_comercio_e_negocios</v>
      </c>
      <c r="D42" s="20">
        <f>'Data - Category'!D42</f>
        <v>232</v>
      </c>
      <c r="E42" s="20">
        <f>'Data - Category'!E42</f>
        <v>265</v>
      </c>
      <c r="F42" s="21">
        <f>'Data - Category'!F42</f>
        <v>46079.34</v>
      </c>
      <c r="G42" s="21">
        <f t="shared" si="2"/>
        <v>173.88430188679243</v>
      </c>
      <c r="H42" s="22">
        <f t="shared" si="3"/>
        <v>2.9883278929433072E-3</v>
      </c>
    </row>
    <row r="43" spans="1:8" ht="25.5" x14ac:dyDescent="0.25">
      <c r="A43" s="18">
        <f>'Data - Category'!A43</f>
        <v>41</v>
      </c>
      <c r="B43" s="24" t="str">
        <f>'Data - Category'!B43</f>
        <v>Construction Tools Safety</v>
      </c>
      <c r="C43" s="18" t="str">
        <f>'Data - Category'!C43</f>
        <v>construcao_ferramentas_seguranca</v>
      </c>
      <c r="D43" s="18">
        <f>'Data - Category'!D43</f>
        <v>159</v>
      </c>
      <c r="E43" s="18">
        <f>'Data - Category'!E43</f>
        <v>183</v>
      </c>
      <c r="F43" s="19">
        <f>'Data - Category'!F43</f>
        <v>42504.02</v>
      </c>
      <c r="G43" s="19">
        <f t="shared" si="2"/>
        <v>232.26240437158469</v>
      </c>
      <c r="H43" s="23">
        <f t="shared" si="3"/>
        <v>2.7564619746771588E-3</v>
      </c>
    </row>
    <row r="44" spans="1:8" x14ac:dyDescent="0.25">
      <c r="A44" s="20">
        <f>'Data - Category'!A44</f>
        <v>42</v>
      </c>
      <c r="B44" s="25" t="str">
        <f>'Data - Category'!B44</f>
        <v>Food</v>
      </c>
      <c r="C44" s="20" t="str">
        <f>'Data - Category'!C44</f>
        <v>alimentos</v>
      </c>
      <c r="D44" s="20">
        <f>'Data - Category'!D44</f>
        <v>441</v>
      </c>
      <c r="E44" s="20">
        <f>'Data - Category'!E44</f>
        <v>499</v>
      </c>
      <c r="F44" s="21">
        <f>'Data - Category'!F44</f>
        <v>35794.68</v>
      </c>
      <c r="G44" s="21">
        <f t="shared" si="2"/>
        <v>71.732825651302605</v>
      </c>
      <c r="H44" s="22">
        <f t="shared" si="3"/>
        <v>2.3213492351014564E-3</v>
      </c>
    </row>
    <row r="45" spans="1:8" x14ac:dyDescent="0.25">
      <c r="A45" s="18">
        <f>'Data - Category'!A45</f>
        <v>43</v>
      </c>
      <c r="B45" s="24" t="str">
        <f>'Data - Category'!B45</f>
        <v>Market Place</v>
      </c>
      <c r="C45" s="18" t="str">
        <f>'Data - Category'!C45</f>
        <v>market_place</v>
      </c>
      <c r="D45" s="18">
        <f>'Data - Category'!D45</f>
        <v>274</v>
      </c>
      <c r="E45" s="18">
        <f>'Data - Category'!E45</f>
        <v>305</v>
      </c>
      <c r="F45" s="19">
        <f>'Data - Category'!F45</f>
        <v>33114.379999999997</v>
      </c>
      <c r="G45" s="19">
        <f t="shared" si="2"/>
        <v>108.57173770491802</v>
      </c>
      <c r="H45" s="23">
        <f t="shared" si="3"/>
        <v>2.1475269700374179E-3</v>
      </c>
    </row>
    <row r="46" spans="1:8" x14ac:dyDescent="0.25">
      <c r="A46" s="20">
        <f>'Data - Category'!A46</f>
        <v>44</v>
      </c>
      <c r="B46" s="25" t="str">
        <f>'Data - Category'!B46</f>
        <v>Costruction Tools Garden</v>
      </c>
      <c r="C46" s="20" t="str">
        <f>'Data - Category'!C46</f>
        <v>construcao_ferramentas_jardim</v>
      </c>
      <c r="D46" s="20">
        <f>'Data - Category'!D46</f>
        <v>190</v>
      </c>
      <c r="E46" s="20">
        <f>'Data - Category'!E46</f>
        <v>232</v>
      </c>
      <c r="F46" s="21">
        <f>'Data - Category'!F46</f>
        <v>30283.94</v>
      </c>
      <c r="G46" s="21">
        <f t="shared" si="2"/>
        <v>130.53422413793103</v>
      </c>
      <c r="H46" s="22">
        <f t="shared" si="3"/>
        <v>1.9639678565322666E-3</v>
      </c>
    </row>
    <row r="47" spans="1:8" x14ac:dyDescent="0.25">
      <c r="A47" s="18">
        <f>'Data - Category'!A47</f>
        <v>45</v>
      </c>
      <c r="B47" s="24" t="str">
        <f>'Data - Category'!B47</f>
        <v>Fashion Shoes</v>
      </c>
      <c r="C47" s="18" t="str">
        <f>'Data - Category'!C47</f>
        <v>fashion_calcados</v>
      </c>
      <c r="D47" s="18">
        <f>'Data - Category'!D47</f>
        <v>235</v>
      </c>
      <c r="E47" s="18">
        <f>'Data - Category'!E47</f>
        <v>257</v>
      </c>
      <c r="F47" s="19">
        <f>'Data - Category'!F47</f>
        <v>27814.83</v>
      </c>
      <c r="G47" s="19">
        <f t="shared" si="2"/>
        <v>108.22891050583658</v>
      </c>
      <c r="H47" s="23">
        <f t="shared" si="3"/>
        <v>1.8038416419696181E-3</v>
      </c>
    </row>
    <row r="48" spans="1:8" x14ac:dyDescent="0.25">
      <c r="A48" s="20">
        <f>'Data - Category'!A48</f>
        <v>46</v>
      </c>
      <c r="B48" s="25" t="str">
        <f>'Data - Category'!B48</f>
        <v>Signaling And Security</v>
      </c>
      <c r="C48" s="20" t="str">
        <f>'Data - Category'!C48</f>
        <v>sinalizacao_e_seguranca</v>
      </c>
      <c r="D48" s="20">
        <f>'Data - Category'!D48</f>
        <v>138</v>
      </c>
      <c r="E48" s="20">
        <f>'Data - Category'!E48</f>
        <v>197</v>
      </c>
      <c r="F48" s="21">
        <f>'Data - Category'!F48</f>
        <v>27792.59</v>
      </c>
      <c r="G48" s="21">
        <f t="shared" si="2"/>
        <v>141.07913705583758</v>
      </c>
      <c r="H48" s="22">
        <f t="shared" si="3"/>
        <v>1.8023993380577334E-3</v>
      </c>
    </row>
    <row r="49" spans="1:8" x14ac:dyDescent="0.25">
      <c r="A49" s="18">
        <f>'Data - Category'!A49</f>
        <v>47</v>
      </c>
      <c r="B49" s="24" t="str">
        <f>'Data - Category'!B49</f>
        <v>Art</v>
      </c>
      <c r="C49" s="18" t="str">
        <f>'Data - Category'!C49</f>
        <v>artes</v>
      </c>
      <c r="D49" s="18">
        <f>'Data - Category'!D49</f>
        <v>195</v>
      </c>
      <c r="E49" s="18">
        <f>'Data - Category'!E49</f>
        <v>197</v>
      </c>
      <c r="F49" s="19">
        <f>'Data - Category'!F49</f>
        <v>27485.53</v>
      </c>
      <c r="G49" s="19">
        <f t="shared" si="2"/>
        <v>139.52045685279188</v>
      </c>
      <c r="H49" s="23">
        <f t="shared" si="3"/>
        <v>1.7824859460081257E-3</v>
      </c>
    </row>
    <row r="50" spans="1:8" x14ac:dyDescent="0.25">
      <c r="A50" s="20">
        <f>'Data - Category'!A50</f>
        <v>48</v>
      </c>
      <c r="B50" s="25" t="str">
        <f>'Data - Category'!B50</f>
        <v>Drinks</v>
      </c>
      <c r="C50" s="20" t="str">
        <f>'Data - Category'!C50</f>
        <v>bebidas</v>
      </c>
      <c r="D50" s="20">
        <f>'Data - Category'!D50</f>
        <v>287</v>
      </c>
      <c r="E50" s="20">
        <f>'Data - Category'!E50</f>
        <v>361</v>
      </c>
      <c r="F50" s="21">
        <f>'Data - Category'!F50</f>
        <v>26971.11</v>
      </c>
      <c r="G50" s="21">
        <f t="shared" si="2"/>
        <v>74.712216066482</v>
      </c>
      <c r="H50" s="22">
        <f t="shared" si="3"/>
        <v>1.7491248858304432E-3</v>
      </c>
    </row>
    <row r="51" spans="1:8" x14ac:dyDescent="0.25">
      <c r="A51" s="18">
        <f>'Data - Category'!A51</f>
        <v>49</v>
      </c>
      <c r="B51" s="24" t="str">
        <f>'Data - Category'!B51</f>
        <v>Furniture Bedroom</v>
      </c>
      <c r="C51" s="18" t="str">
        <f>'Data - Category'!C51</f>
        <v>moveis_quarto</v>
      </c>
      <c r="D51" s="18">
        <f>'Data - Category'!D51</f>
        <v>90</v>
      </c>
      <c r="E51" s="18">
        <f>'Data - Category'!E51</f>
        <v>103</v>
      </c>
      <c r="F51" s="19">
        <f>'Data - Category'!F51</f>
        <v>23379.22</v>
      </c>
      <c r="G51" s="19">
        <f t="shared" si="2"/>
        <v>226.98271844660195</v>
      </c>
      <c r="H51" s="23">
        <f t="shared" si="3"/>
        <v>1.5161843733277872E-3</v>
      </c>
    </row>
    <row r="52" spans="1:8" x14ac:dyDescent="0.25">
      <c r="A52" s="20">
        <f>'Data - Category'!A52</f>
        <v>50</v>
      </c>
      <c r="B52" s="25" t="str">
        <f>'Data - Category'!B52</f>
        <v>Books Technical</v>
      </c>
      <c r="C52" s="20" t="str">
        <f>'Data - Category'!C52</f>
        <v>livros_tecnicos</v>
      </c>
      <c r="D52" s="20">
        <f>'Data - Category'!D52</f>
        <v>256</v>
      </c>
      <c r="E52" s="20">
        <f>'Data - Category'!E52</f>
        <v>263</v>
      </c>
      <c r="F52" s="21">
        <f>'Data - Category'!F52</f>
        <v>22901.07</v>
      </c>
      <c r="G52" s="21">
        <f t="shared" si="2"/>
        <v>87.076311787072243</v>
      </c>
      <c r="H52" s="22">
        <f t="shared" si="3"/>
        <v>1.4851754877402148E-3</v>
      </c>
    </row>
    <row r="53" spans="1:8" x14ac:dyDescent="0.25">
      <c r="A53" s="18">
        <f>'Data - Category'!A53</f>
        <v>51</v>
      </c>
      <c r="B53" s="24" t="str">
        <f>'Data - Category'!B53</f>
        <v>Food Drink</v>
      </c>
      <c r="C53" s="18" t="str">
        <f>'Data - Category'!C53</f>
        <v>alimentos_bebidas</v>
      </c>
      <c r="D53" s="18">
        <f>'Data - Category'!D53</f>
        <v>221</v>
      </c>
      <c r="E53" s="18">
        <f>'Data - Category'!E53</f>
        <v>269</v>
      </c>
      <c r="F53" s="19">
        <f>'Data - Category'!F53</f>
        <v>19337.77</v>
      </c>
      <c r="G53" s="19">
        <f t="shared" si="2"/>
        <v>71.887620817843867</v>
      </c>
      <c r="H53" s="23">
        <f t="shared" si="3"/>
        <v>1.2540890880451479E-3</v>
      </c>
    </row>
    <row r="54" spans="1:8" ht="25.5" x14ac:dyDescent="0.25">
      <c r="A54" s="20">
        <f>'Data - Category'!A54</f>
        <v>52</v>
      </c>
      <c r="B54" s="25" t="str">
        <f>'Data - Category'!B54</f>
        <v>Costruction Tools Tools</v>
      </c>
      <c r="C54" s="20" t="str">
        <f>'Data - Category'!C54</f>
        <v>construcao_ferramentas_ferramentas</v>
      </c>
      <c r="D54" s="20">
        <f>'Data - Category'!D54</f>
        <v>97</v>
      </c>
      <c r="E54" s="20">
        <f>'Data - Category'!E54</f>
        <v>103</v>
      </c>
      <c r="F54" s="21">
        <f>'Data - Category'!F54</f>
        <v>17934.169999999998</v>
      </c>
      <c r="G54" s="21">
        <f t="shared" si="2"/>
        <v>174.11815533980581</v>
      </c>
      <c r="H54" s="22">
        <f t="shared" si="3"/>
        <v>1.1630631091458139E-3</v>
      </c>
    </row>
    <row r="55" spans="1:8" x14ac:dyDescent="0.25">
      <c r="A55" s="18">
        <f>'Data - Category'!A55</f>
        <v>53</v>
      </c>
      <c r="B55" s="24" t="str">
        <f>'Data - Category'!B55</f>
        <v>Fashion Male Clothing</v>
      </c>
      <c r="C55" s="18" t="str">
        <f>'Data - Category'!C55</f>
        <v>fashion_roupa_masculina</v>
      </c>
      <c r="D55" s="18">
        <f>'Data - Category'!D55</f>
        <v>106</v>
      </c>
      <c r="E55" s="18">
        <f>'Data - Category'!E55</f>
        <v>125</v>
      </c>
      <c r="F55" s="19">
        <f>'Data - Category'!F55</f>
        <v>12514.95</v>
      </c>
      <c r="G55" s="19">
        <f t="shared" si="2"/>
        <v>100.11960000000001</v>
      </c>
      <c r="H55" s="23">
        <f t="shared" si="3"/>
        <v>8.1161696681833657E-4</v>
      </c>
    </row>
    <row r="56" spans="1:8" x14ac:dyDescent="0.25">
      <c r="A56" s="20">
        <f>'Data - Category'!A56</f>
        <v>54</v>
      </c>
      <c r="B56" s="25" t="str">
        <f>'Data - Category'!B56</f>
        <v>Christmas Supplies</v>
      </c>
      <c r="C56" s="20" t="str">
        <f>'Data - Category'!C56</f>
        <v>artigos_de_natal</v>
      </c>
      <c r="D56" s="20">
        <f>'Data - Category'!D56</f>
        <v>125</v>
      </c>
      <c r="E56" s="20">
        <f>'Data - Category'!E56</f>
        <v>150</v>
      </c>
      <c r="F56" s="21">
        <f>'Data - Category'!F56</f>
        <v>11928.75</v>
      </c>
      <c r="G56" s="21">
        <f t="shared" si="2"/>
        <v>79.525000000000006</v>
      </c>
      <c r="H56" s="22">
        <f t="shared" si="3"/>
        <v>7.736008448243286E-4</v>
      </c>
    </row>
    <row r="57" spans="1:8" ht="25.5" x14ac:dyDescent="0.25">
      <c r="A57" s="18">
        <f>'Data - Category'!A57</f>
        <v>55</v>
      </c>
      <c r="B57" s="24" t="str">
        <f>'Data - Category'!B57</f>
        <v>Fashion Underwear Beach</v>
      </c>
      <c r="C57" s="18" t="str">
        <f>'Data - Category'!C57</f>
        <v>fashion_underwear_e_moda_praia</v>
      </c>
      <c r="D57" s="18">
        <f>'Data - Category'!D57</f>
        <v>117</v>
      </c>
      <c r="E57" s="18">
        <f>'Data - Category'!E57</f>
        <v>127</v>
      </c>
      <c r="F57" s="19">
        <f>'Data - Category'!F57</f>
        <v>11160.02</v>
      </c>
      <c r="G57" s="19">
        <f t="shared" si="2"/>
        <v>87.874173228346464</v>
      </c>
      <c r="H57" s="23">
        <f t="shared" si="3"/>
        <v>7.2374732476214226E-4</v>
      </c>
    </row>
    <row r="58" spans="1:8" x14ac:dyDescent="0.25">
      <c r="A58" s="20">
        <f>'Data - Category'!A58</f>
        <v>56</v>
      </c>
      <c r="B58" s="25" t="str">
        <f>'Data - Category'!B58</f>
        <v>Tablets Printing Image</v>
      </c>
      <c r="C58" s="20" t="str">
        <f>'Data - Category'!C58</f>
        <v>tablets_impressao_imagem</v>
      </c>
      <c r="D58" s="20">
        <f>'Data - Category'!D58</f>
        <v>79</v>
      </c>
      <c r="E58" s="20">
        <f>'Data - Category'!E58</f>
        <v>83</v>
      </c>
      <c r="F58" s="21">
        <f>'Data - Category'!F58</f>
        <v>8754.61</v>
      </c>
      <c r="G58" s="21">
        <f t="shared" si="2"/>
        <v>105.47722891566266</v>
      </c>
      <c r="H58" s="22">
        <f t="shared" si="3"/>
        <v>5.677521695154577E-4</v>
      </c>
    </row>
    <row r="59" spans="1:8" x14ac:dyDescent="0.25">
      <c r="A59" s="18">
        <f>'Data - Category'!A59</f>
        <v>57</v>
      </c>
      <c r="B59" s="24" t="str">
        <f>'Data - Category'!B59</f>
        <v>Cine Photo</v>
      </c>
      <c r="C59" s="18" t="str">
        <f>'Data - Category'!C59</f>
        <v>cine_foto</v>
      </c>
      <c r="D59" s="18">
        <f>'Data - Category'!D59</f>
        <v>63</v>
      </c>
      <c r="E59" s="18">
        <f>'Data - Category'!E59</f>
        <v>70</v>
      </c>
      <c r="F59" s="19">
        <f>'Data - Category'!F59</f>
        <v>7902.18</v>
      </c>
      <c r="G59" s="19">
        <f t="shared" si="2"/>
        <v>112.88828571428571</v>
      </c>
      <c r="H59" s="23">
        <f t="shared" si="3"/>
        <v>5.1247055424532444E-4</v>
      </c>
    </row>
    <row r="60" spans="1:8" x14ac:dyDescent="0.25">
      <c r="A60" s="20">
        <f>'Data - Category'!A60</f>
        <v>58</v>
      </c>
      <c r="B60" s="25" t="str">
        <f>'Data - Category'!B60</f>
        <v>Music</v>
      </c>
      <c r="C60" s="20" t="str">
        <f>'Data - Category'!C60</f>
        <v>musica</v>
      </c>
      <c r="D60" s="20">
        <f>'Data - Category'!D60</f>
        <v>38</v>
      </c>
      <c r="E60" s="20">
        <f>'Data - Category'!E60</f>
        <v>38</v>
      </c>
      <c r="F60" s="21">
        <f>'Data - Category'!F60</f>
        <v>6724.86</v>
      </c>
      <c r="G60" s="21">
        <f t="shared" si="2"/>
        <v>176.97</v>
      </c>
      <c r="H60" s="22">
        <f t="shared" si="3"/>
        <v>4.361192394278809E-4</v>
      </c>
    </row>
    <row r="61" spans="1:8" x14ac:dyDescent="0.25">
      <c r="A61" s="18">
        <f>'Data - Category'!A61</f>
        <v>59</v>
      </c>
      <c r="B61" s="24" t="str">
        <f>'Data - Category'!B61</f>
        <v>Furniture Mattress And Upholstery</v>
      </c>
      <c r="C61" s="18" t="str">
        <f>'Data - Category'!C61</f>
        <v>moveis_colchao_e_estofado</v>
      </c>
      <c r="D61" s="18">
        <f>'Data - Category'!D61</f>
        <v>37</v>
      </c>
      <c r="E61" s="18">
        <f>'Data - Category'!E61</f>
        <v>37</v>
      </c>
      <c r="F61" s="19">
        <f>'Data - Category'!F61</f>
        <v>5904.75</v>
      </c>
      <c r="G61" s="19">
        <f t="shared" si="2"/>
        <v>159.58783783783784</v>
      </c>
      <c r="H61" s="23">
        <f t="shared" si="3"/>
        <v>3.8293363415919137E-4</v>
      </c>
    </row>
    <row r="62" spans="1:8" x14ac:dyDescent="0.25">
      <c r="A62" s="20">
        <f>'Data - Category'!A62</f>
        <v>60</v>
      </c>
      <c r="B62" s="25" t="str">
        <f>'Data - Category'!B62</f>
        <v>Dvds Blu Ray</v>
      </c>
      <c r="C62" s="20" t="str">
        <f>'Data - Category'!C62</f>
        <v>dvds_blu_ray</v>
      </c>
      <c r="D62" s="20">
        <f>'Data - Category'!D62</f>
        <v>56</v>
      </c>
      <c r="E62" s="20">
        <f>'Data - Category'!E62</f>
        <v>61</v>
      </c>
      <c r="F62" s="21">
        <f>'Data - Category'!F62</f>
        <v>5769.84</v>
      </c>
      <c r="G62" s="21">
        <f t="shared" si="2"/>
        <v>94.587540983606559</v>
      </c>
      <c r="H62" s="22">
        <f t="shared" si="3"/>
        <v>3.7418447854982326E-4</v>
      </c>
    </row>
    <row r="63" spans="1:8" x14ac:dyDescent="0.25">
      <c r="A63" s="18">
        <f>'Data - Category'!A63</f>
        <v>61</v>
      </c>
      <c r="B63" s="24" t="str">
        <f>'Data - Category'!B63</f>
        <v>Party Supplies</v>
      </c>
      <c r="C63" s="18" t="str">
        <f>'Data - Category'!C63</f>
        <v>artigos_de_festas</v>
      </c>
      <c r="D63" s="18">
        <f>'Data - Category'!D63</f>
        <v>38</v>
      </c>
      <c r="E63" s="18">
        <f>'Data - Category'!E63</f>
        <v>42</v>
      </c>
      <c r="F63" s="19">
        <f>'Data - Category'!F63</f>
        <v>5285.38</v>
      </c>
      <c r="G63" s="19">
        <f t="shared" si="2"/>
        <v>125.84238095238095</v>
      </c>
      <c r="H63" s="23">
        <f t="shared" si="3"/>
        <v>3.4276637813833053E-4</v>
      </c>
    </row>
    <row r="64" spans="1:8" x14ac:dyDescent="0.25">
      <c r="A64" s="20">
        <f>'Data - Category'!A64</f>
        <v>62</v>
      </c>
      <c r="B64" s="25" t="str">
        <f>'Data - Category'!B64</f>
        <v>Books Imported</v>
      </c>
      <c r="C64" s="20" t="str">
        <f>'Data - Category'!C64</f>
        <v>livros_importados</v>
      </c>
      <c r="D64" s="20">
        <f>'Data - Category'!D64</f>
        <v>50</v>
      </c>
      <c r="E64" s="20">
        <f>'Data - Category'!E64</f>
        <v>57</v>
      </c>
      <c r="F64" s="21">
        <f>'Data - Category'!F64</f>
        <v>5150.9399999999996</v>
      </c>
      <c r="G64" s="21">
        <f t="shared" si="2"/>
        <v>90.367368421052618</v>
      </c>
      <c r="H64" s="22">
        <f t="shared" si="3"/>
        <v>3.3404770287242391E-4</v>
      </c>
    </row>
    <row r="65" spans="1:8" x14ac:dyDescent="0.25">
      <c r="A65" s="18">
        <f>'Data - Category'!A65</f>
        <v>63</v>
      </c>
      <c r="B65" s="24" t="str">
        <f>'Data - Category'!B65</f>
        <v>Fashio Female Clothing</v>
      </c>
      <c r="C65" s="18" t="str">
        <f>'Data - Category'!C65</f>
        <v>fashion_roupa_feminina</v>
      </c>
      <c r="D65" s="18">
        <f>'Data - Category'!D65</f>
        <v>36</v>
      </c>
      <c r="E65" s="18">
        <f>'Data - Category'!E65</f>
        <v>45</v>
      </c>
      <c r="F65" s="19">
        <f>'Data - Category'!F65</f>
        <v>3218.44</v>
      </c>
      <c r="G65" s="19">
        <f t="shared" si="2"/>
        <v>71.520888888888891</v>
      </c>
      <c r="H65" s="23">
        <f t="shared" si="3"/>
        <v>2.0872160980961227E-4</v>
      </c>
    </row>
    <row r="66" spans="1:8" x14ac:dyDescent="0.25">
      <c r="A66" s="20">
        <f>'Data - Category'!A66</f>
        <v>64</v>
      </c>
      <c r="B66" s="25" t="str">
        <f>'Data - Category'!B66</f>
        <v>Fashion Sport</v>
      </c>
      <c r="C66" s="20" t="str">
        <f>'Data - Category'!C66</f>
        <v>fashion_esporte</v>
      </c>
      <c r="D66" s="20">
        <f>'Data - Category'!D66</f>
        <v>26</v>
      </c>
      <c r="E66" s="20">
        <f>'Data - Category'!E66</f>
        <v>29</v>
      </c>
      <c r="F66" s="21">
        <f>'Data - Category'!F66</f>
        <v>2657.55</v>
      </c>
      <c r="G66" s="21">
        <f t="shared" si="2"/>
        <v>91.639655172413796</v>
      </c>
      <c r="H66" s="22">
        <f t="shared" si="3"/>
        <v>1.7234688673690827E-4</v>
      </c>
    </row>
    <row r="67" spans="1:8" x14ac:dyDescent="0.25">
      <c r="A67" s="18">
        <f>'Data - Category'!A67</f>
        <v>65</v>
      </c>
      <c r="B67" s="24" t="str">
        <f>'Data - Category'!B67</f>
        <v>La Cuisine</v>
      </c>
      <c r="C67" s="18" t="str">
        <f>'Data - Category'!C67</f>
        <v>la_cuisine</v>
      </c>
      <c r="D67" s="18">
        <f>'Data - Category'!D67</f>
        <v>13</v>
      </c>
      <c r="E67" s="18">
        <f>'Data - Category'!E67</f>
        <v>14</v>
      </c>
      <c r="F67" s="19">
        <f>'Data - Category'!F67</f>
        <v>2388.54</v>
      </c>
      <c r="G67" s="19">
        <f t="shared" ref="G67:G98" si="4">IF(E67=0,0,F67/E67)</f>
        <v>170.60999999999999</v>
      </c>
      <c r="H67" s="23">
        <f t="shared" ref="H67:H74" si="5">IF(F$76=0,0,F67/F$76)</f>
        <v>1.5490110547179727E-4</v>
      </c>
    </row>
    <row r="68" spans="1:8" x14ac:dyDescent="0.25">
      <c r="A68" s="20">
        <f>'Data - Category'!A68</f>
        <v>66</v>
      </c>
      <c r="B68" s="25" t="str">
        <f>'Data - Category'!B68</f>
        <v>Arts And Craftmanship</v>
      </c>
      <c r="C68" s="20" t="str">
        <f>'Data - Category'!C68</f>
        <v>artes_e_artesanato</v>
      </c>
      <c r="D68" s="20">
        <f>'Data - Category'!D68</f>
        <v>23</v>
      </c>
      <c r="E68" s="20">
        <f>'Data - Category'!E68</f>
        <v>24</v>
      </c>
      <c r="F68" s="21">
        <f>'Data - Category'!F68</f>
        <v>2184.14</v>
      </c>
      <c r="G68" s="21">
        <f t="shared" si="4"/>
        <v>91.005833333333328</v>
      </c>
      <c r="H68" s="22">
        <f t="shared" si="5"/>
        <v>1.4164539865573584E-4</v>
      </c>
    </row>
    <row r="69" spans="1:8" x14ac:dyDescent="0.25">
      <c r="A69" s="18">
        <f>'Data - Category'!A69</f>
        <v>67</v>
      </c>
      <c r="B69" s="24" t="str">
        <f>'Data - Category'!B69</f>
        <v>Diapers And Hygiene</v>
      </c>
      <c r="C69" s="18" t="str">
        <f>'Data - Category'!C69</f>
        <v>fraldas_higiene</v>
      </c>
      <c r="D69" s="18">
        <f>'Data - Category'!D69</f>
        <v>25</v>
      </c>
      <c r="E69" s="18">
        <f>'Data - Category'!E69</f>
        <v>37</v>
      </c>
      <c r="F69" s="19">
        <f>'Data - Category'!F69</f>
        <v>2046.19</v>
      </c>
      <c r="G69" s="19">
        <f t="shared" si="4"/>
        <v>55.302432432432433</v>
      </c>
      <c r="H69" s="23">
        <f t="shared" si="5"/>
        <v>1.3269909359078639E-4</v>
      </c>
    </row>
    <row r="70" spans="1:8" x14ac:dyDescent="0.25">
      <c r="A70" s="20">
        <f>'Data - Category'!A70</f>
        <v>68</v>
      </c>
      <c r="B70" s="25" t="str">
        <f>'Data - Category'!B70</f>
        <v>Flowers</v>
      </c>
      <c r="C70" s="20" t="str">
        <f>'Data - Category'!C70</f>
        <v>flores</v>
      </c>
      <c r="D70" s="20">
        <f>'Data - Category'!D70</f>
        <v>29</v>
      </c>
      <c r="E70" s="20">
        <f>'Data - Category'!E70</f>
        <v>33</v>
      </c>
      <c r="F70" s="21">
        <f>'Data - Category'!F70</f>
        <v>1598.91</v>
      </c>
      <c r="G70" s="21">
        <f t="shared" si="4"/>
        <v>48.451818181818183</v>
      </c>
      <c r="H70" s="22">
        <f t="shared" si="5"/>
        <v>1.0369218290248914E-4</v>
      </c>
    </row>
    <row r="71" spans="1:8" x14ac:dyDescent="0.25">
      <c r="A71" s="18">
        <f>'Data - Category'!A71</f>
        <v>69</v>
      </c>
      <c r="B71" s="24" t="str">
        <f>'Data - Category'!B71</f>
        <v>Home Comfort 2</v>
      </c>
      <c r="C71" s="18" t="str">
        <f>'Data - Category'!C71</f>
        <v>casa_conforto_2</v>
      </c>
      <c r="D71" s="18">
        <f>'Data - Category'!D71</f>
        <v>24</v>
      </c>
      <c r="E71" s="18">
        <f>'Data - Category'!E71</f>
        <v>30</v>
      </c>
      <c r="F71" s="19">
        <f>'Data - Category'!F71</f>
        <v>1170.58</v>
      </c>
      <c r="G71" s="19">
        <f t="shared" si="4"/>
        <v>39.019333333333329</v>
      </c>
      <c r="H71" s="23">
        <f t="shared" si="5"/>
        <v>7.5914213721845335E-5</v>
      </c>
    </row>
    <row r="72" spans="1:8" x14ac:dyDescent="0.25">
      <c r="A72" s="20">
        <f>'Data - Category'!A72</f>
        <v>70</v>
      </c>
      <c r="B72" s="25" t="str">
        <f>'Data - Category'!B72</f>
        <v>Cds Dvds Musicals</v>
      </c>
      <c r="C72" s="20" t="str">
        <f>'Data - Category'!C72</f>
        <v>cds_dvds_musicais</v>
      </c>
      <c r="D72" s="20">
        <f>'Data - Category'!D72</f>
        <v>12</v>
      </c>
      <c r="E72" s="20">
        <f>'Data - Category'!E72</f>
        <v>14</v>
      </c>
      <c r="F72" s="21">
        <f>'Data - Category'!F72</f>
        <v>954.99</v>
      </c>
      <c r="G72" s="21">
        <f t="shared" si="4"/>
        <v>68.213571428571427</v>
      </c>
      <c r="H72" s="22">
        <f t="shared" si="5"/>
        <v>6.1932815324219681E-5</v>
      </c>
    </row>
    <row r="73" spans="1:8" x14ac:dyDescent="0.25">
      <c r="A73" s="18">
        <f>'Data - Category'!A73</f>
        <v>71</v>
      </c>
      <c r="B73" s="24" t="str">
        <f>'Data - Category'!B73</f>
        <v>Fashion Childrens Clothes</v>
      </c>
      <c r="C73" s="18" t="str">
        <f>'Data - Category'!C73</f>
        <v>fashion_roupa_infanto_juvenil</v>
      </c>
      <c r="D73" s="18">
        <f>'Data - Category'!D73</f>
        <v>7</v>
      </c>
      <c r="E73" s="18">
        <f>'Data - Category'!E73</f>
        <v>7</v>
      </c>
      <c r="F73" s="19">
        <f>'Data - Category'!F73</f>
        <v>598.66999999999996</v>
      </c>
      <c r="G73" s="19">
        <f t="shared" si="4"/>
        <v>85.52428571428571</v>
      </c>
      <c r="H73" s="23">
        <f t="shared" si="5"/>
        <v>3.8824823872658978E-5</v>
      </c>
    </row>
    <row r="74" spans="1:8" x14ac:dyDescent="0.25">
      <c r="A74" s="20">
        <f>'Data - Category'!A74</f>
        <v>72</v>
      </c>
      <c r="B74" s="25" t="str">
        <f>'Data - Category'!B74</f>
        <v>Security And Services</v>
      </c>
      <c r="C74" s="20" t="str">
        <f>'Data - Category'!C74</f>
        <v>seguros_e_servicos</v>
      </c>
      <c r="D74" s="20">
        <f>'Data - Category'!D74</f>
        <v>2</v>
      </c>
      <c r="E74" s="20">
        <f>'Data - Category'!E74</f>
        <v>2</v>
      </c>
      <c r="F74" s="21">
        <f>'Data - Category'!F74</f>
        <v>324.51</v>
      </c>
      <c r="G74" s="21">
        <f t="shared" si="4"/>
        <v>162.255</v>
      </c>
      <c r="H74" s="22">
        <f t="shared" si="5"/>
        <v>2.1045055865362496E-5</v>
      </c>
    </row>
    <row r="76" spans="1:8" x14ac:dyDescent="0.25">
      <c r="A76" s="8" t="s">
        <v>12</v>
      </c>
      <c r="B76" s="8" t="s">
        <v>181</v>
      </c>
      <c r="C76" s="8"/>
      <c r="D76" s="8">
        <f>SUM(D3:D75)</f>
        <v>97276</v>
      </c>
      <c r="E76" s="8">
        <f>SUM(E3:E75)</f>
        <v>110197</v>
      </c>
      <c r="F76" s="17">
        <f>SUM(F3:F75)</f>
        <v>15419773.749999993</v>
      </c>
      <c r="G76" s="17">
        <f>IF(E76=0,0,F76/E76)</f>
        <v>139.92916095719477</v>
      </c>
      <c r="H76" s="8" t="s">
        <v>192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 - Monthly</vt:lpstr>
      <vt:lpstr>Data - Category</vt:lpstr>
      <vt:lpstr>Monthly Summary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Rifky</dc:creator>
  <dc:description/>
  <cp:lastModifiedBy>RIFKY MARDIANSYAH</cp:lastModifiedBy>
  <cp:revision>0</cp:revision>
  <dcterms:created xsi:type="dcterms:W3CDTF">2026-04-19T13:45:25Z</dcterms:created>
  <dcterms:modified xsi:type="dcterms:W3CDTF">2026-04-23T16:37:58Z</dcterms:modified>
  <dc:language>en-US</dc:language>
</cp:coreProperties>
</file>